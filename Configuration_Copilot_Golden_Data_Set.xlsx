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Business Case" sheetId="3" state="visible" r:id="rId5"/>
    <sheet name="Prioritisation" sheetId="4" state="visible" r:id="rId6"/>
    <sheet name="Customers" sheetId="5" state="visible" r:id="rId7"/>
    <sheet name="Template" sheetId="6" state="visible" r:id="rId8"/>
    <sheet name="Metrics &amp; Health" sheetId="7" state="visible" r:id="rId9"/>
    <sheet name="S1 Clarification" sheetId="8" state="visible" r:id="rId10"/>
    <sheet name="S2 Config Checks" sheetId="9" state="visible" r:id="rId11"/>
    <sheet name="U1 UAT Diagnosis" sheetId="10" state="visible" r:id="rId12"/>
    <sheet name="P1 Safety Net (MVP)" sheetId="11" state="visible" r:id="rId13"/>
    <sheet name="P2 Drift (V2)" sheetId="12" state="visible" r:id="rId14"/>
    <sheet name="Evaluation" sheetId="13" state="visible" r:id="rId15"/>
    <sheet name="Assumptions"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<sst xmlns="http://schemas.openxmlformats.org/spreadsheetml/2006/main" count="2029" uniqueCount="1316">
  <si>
    <t xml:space="preserve">Configuration Copilot: Golden Data Set</t>
  </si>
  <si>
    <t xml:space="preserve">Vertex Ops case study · synthetic data · all customers, people and values are fictional</t>
  </si>
  <si>
    <t xml:space="preserve">Purpose</t>
  </si>
  <si>
    <t xml:space="preserve">The answer key used to design and test the Configuration Copilot. Each sheet pairs realistic inputs with the output the system is expected to produce, so every layer (rules, fast decision layer, LLM agents) can be scored before launch and after every change.</t>
  </si>
  <si>
    <t xml:space="preserve">Domain (A0)</t>
  </si>
  <si>
    <t xml:space="preserve">Mid-market Indian companies running order-to-delivery operations: distributors, D2C brands and 3PLs. Modules: Order Management, Fulfilment &amp; Allocation, Shipping &amp; Delivery, plus Admin &amp; Access.</t>
  </si>
  <si>
    <t xml:space="preserve">How to read</t>
  </si>
  <si>
    <t xml:space="preserve">Dark navy headers = inputs the system receives. Teal headers with tinted cells = the answer key (expected output). Score the system by comparing its output with the answer key.</t>
  </si>
  <si>
    <t xml:space="preserve">Layers</t>
  </si>
  <si>
    <t xml:space="preserve">R = rules/automation · J = fast decision layer (Jev candidate, shadow mode in MVP) · L = LLM agent · H = human decision.</t>
  </si>
  <si>
    <t xml:space="preserve">Difficulty</t>
  </si>
  <si>
    <t xml:space="preserve">Easy = single clear signal · Medium = needs one inference · Hard = traps: contradictions, two causes, noise that looks like drift, cases where the right answer is 'do nothing' or 'ask the customer'.</t>
  </si>
  <si>
    <t xml:space="preserve">Sheet guide</t>
  </si>
  <si>
    <t xml:space="preserve">  Summary</t>
  </si>
  <si>
    <t xml:space="preserve">Live case counts and mix (formulas).</t>
  </si>
  <si>
    <t xml:space="preserve">  Customers</t>
  </si>
  <si>
    <t xml:space="preserve">21 synthetic customers across Sales (8), UAT (5) and Production (8).</t>
  </si>
  <si>
    <t xml:space="preserve">  Template</t>
  </si>
  <si>
    <t xml:space="preserve">Logistics template built on the domain-neutral base schema: thresholds (THR), rules (RULE), workflows (WF), integrations (INT), admin (ADM).</t>
  </si>
  <si>
    <t xml:space="preserve">  Metrics &amp; Health</t>
  </si>
  <si>
    <t xml:space="preserve">UAT metric checklist (M1-M10 performance and load, C1-C4 correctness) and production health checks (H1-H13).</t>
  </si>
  <si>
    <t xml:space="preserve">  S1 Clarification</t>
  </si>
  <si>
    <t xml:space="preserve">MVP · Sales · Requirement Clarification Agent (L): ambiguity detection, follow-up questions, sign-off values.</t>
  </si>
  <si>
    <t xml:space="preserve">  S2 Config Checks</t>
  </si>
  <si>
    <t xml:space="preserve">MVP · Sales · rule-based checks (R) on draft configurations against signed-off values.</t>
  </si>
  <si>
    <t xml:space="preserve">  U1 UAT Diagnosis</t>
  </si>
  <si>
    <t xml:space="preserve">MVP · UAT · Diagnosis &amp; Tuning Agent (R narrows, J ranks, L investigates): root cause, cause class, expected action.</t>
  </si>
  <si>
    <t xml:space="preserve">  P1 Safety Net (MVP)</t>
  </si>
  <si>
    <t xml:space="preserve">MVP · Production · rule-based H1/H3/H4 checks with escalation. No AI touches live customers.</t>
  </si>
  <si>
    <t xml:space="preserve">  P2 Drift (V2)</t>
  </si>
  <si>
    <t xml:space="preserve">V2 · Production · Level 2 fit monitoring: real drift vs noise vs sustained growth.</t>
  </si>
  <si>
    <t xml:space="preserve">  Evaluation</t>
  </si>
  <si>
    <t xml:space="preserve">How each sheet is scored and the proposed launch gates.</t>
  </si>
  <si>
    <t xml:space="preserve">  Assumptions</t>
  </si>
  <si>
    <t xml:space="preserve">Assumption register A0-A20 referenced across the submission.</t>
  </si>
  <si>
    <t xml:space="preserve">Data handling</t>
  </si>
  <si>
    <t xml:space="preserve">Consistent with A18: cases use configuration, aggregated metrics and event patterns only. No consumer personal data appears anywhere in this file.</t>
  </si>
  <si>
    <t xml:space="preserve">  Business Case</t>
  </si>
  <si>
    <t xml:space="preserve">Assumptions F1-F21 with type and basis, formula-driven outputs, and a conservative case. Codes match the deck footnotes.</t>
  </si>
  <si>
    <t xml:space="preserve">  Prioritisation</t>
  </si>
  <si>
    <t xml:space="preserve">Weighted scoring used to choose the MVP scope.</t>
  </si>
  <si>
    <t xml:space="preserve">Summary</t>
  </si>
  <si>
    <t xml:space="preserve">All counts below are live formulas over the case sheets.</t>
  </si>
  <si>
    <t xml:space="preserve">Cases by sheet</t>
  </si>
  <si>
    <t xml:space="preserve">S1 Clarification (MVP, Sales, L)</t>
  </si>
  <si>
    <t xml:space="preserve">Agent must flag, question and resolve</t>
  </si>
  <si>
    <t xml:space="preserve">S2 Config Checks (MVP, Sales, R)</t>
  </si>
  <si>
    <t xml:space="preserve">Deterministic rule checks</t>
  </si>
  <si>
    <t xml:space="preserve">U1 UAT Diagnosis (MVP, UAT, R+J+L)</t>
  </si>
  <si>
    <t xml:space="preserve">Root cause and action</t>
  </si>
  <si>
    <t xml:space="preserve">P1 Safety Net (MVP, Production, R)</t>
  </si>
  <si>
    <t xml:space="preserve">Hard-failure rules</t>
  </si>
  <si>
    <t xml:space="preserve">P2 Drift (V2, Production, R+J+L)</t>
  </si>
  <si>
    <t xml:space="preserve">Drift vs noise</t>
  </si>
  <si>
    <t xml:space="preserve">Total cases</t>
  </si>
  <si>
    <t xml:space="preserve">S1 mix</t>
  </si>
  <si>
    <t xml:space="preserve">Should be flagged (ambiguous)</t>
  </si>
  <si>
    <t xml:space="preserve">Tests recall</t>
  </si>
  <si>
    <t xml:space="preserve">Controls: must NOT be flagged</t>
  </si>
  <si>
    <t xml:space="preserve">Tests false flags</t>
  </si>
  <si>
    <t xml:space="preserve">Out of scope: route to SE</t>
  </si>
  <si>
    <t xml:space="preserve">Tests 'do not invent settings'</t>
  </si>
  <si>
    <t xml:space="preserve">Contradictions</t>
  </si>
  <si>
    <t xml:space="preserve">S2 mix</t>
  </si>
  <si>
    <t xml:space="preserve">Errors (block handoff)</t>
  </si>
  <si>
    <t xml:space="preserve">Warnings (do not block)</t>
  </si>
  <si>
    <t xml:space="preserve">Pass</t>
  </si>
  <si>
    <t xml:space="preserve">Tests false blocks</t>
  </si>
  <si>
    <t xml:space="preserve">U1 mix</t>
  </si>
  <si>
    <t xml:space="preserve">Configuration errors (incl. two-cause, capacity)</t>
  </si>
  <si>
    <t xml:space="preserve">Requirement conflicts with target (ask customer)</t>
  </si>
  <si>
    <t xml:space="preserve">Agent must escalate, not fix</t>
  </si>
  <si>
    <t xml:space="preserve">Test data issue (no change)</t>
  </si>
  <si>
    <t xml:space="preserve">Correct answer is 'do nothing'</t>
  </si>
  <si>
    <t xml:space="preserve">Rule-only (AI not invoked)</t>
  </si>
  <si>
    <t xml:space="preserve">Regression from recent change</t>
  </si>
  <si>
    <t xml:space="preserve">P1 / P2 mix</t>
  </si>
  <si>
    <t xml:space="preserve">Safety net: alert expected</t>
  </si>
  <si>
    <t xml:space="preserve">Safety net: near misses (no alert)</t>
  </si>
  <si>
    <t xml:space="preserve">Tests false alarms</t>
  </si>
  <si>
    <t xml:space="preserve">Drift: real drift</t>
  </si>
  <si>
    <t xml:space="preserve">Drift: noise / sustained growth</t>
  </si>
  <si>
    <t xml:space="preserve">Must not raise a drift alert</t>
  </si>
  <si>
    <t xml:space="preserve">Difficulty (all agent sheets: S1, U1, P2)</t>
  </si>
  <si>
    <t xml:space="preserve">Hard</t>
  </si>
  <si>
    <t xml:space="preserve">Medium</t>
  </si>
  <si>
    <t xml:space="preserve">Easy</t>
  </si>
  <si>
    <t xml:space="preserve">Business case: assumptions F1-F21, formulas, base and conservative cases</t>
  </si>
  <si>
    <t xml:space="preserve">Blue cells on yellow are inputs: replace with Vertex Ops actuals and every output recalculates. The codes match the deck footnotes.</t>
  </si>
  <si>
    <t xml:space="preserve">Code</t>
  </si>
  <si>
    <t xml:space="preserve">Input</t>
  </si>
  <si>
    <t xml:space="preserve">Value</t>
  </si>
  <si>
    <t xml:space="preserve">Unit</t>
  </si>
  <si>
    <t xml:space="preserve">Type</t>
  </si>
  <si>
    <t xml:space="preserve">Basis</t>
  </si>
  <si>
    <t xml:space="preserve">F1</t>
  </si>
  <si>
    <t xml:space="preserve">Customers in UAT at any time</t>
  </si>
  <si>
    <t xml:space="preserve">customers</t>
  </si>
  <si>
    <t xml:space="preserve">Case fact</t>
  </si>
  <si>
    <t xml:space="preserve">Case: ~5 customers in UAT</t>
  </si>
  <si>
    <t xml:space="preserve">F2</t>
  </si>
  <si>
    <t xml:space="preserve">Average UAT duration</t>
  </si>
  <si>
    <t xml:space="preserve">weeks</t>
  </si>
  <si>
    <t xml:space="preserve">Assumption</t>
  </si>
  <si>
    <t xml:space="preserve">Typical mid-market SaaS UAT window of 3-6 weeks</t>
  </si>
  <si>
    <t xml:space="preserve">F3</t>
  </si>
  <si>
    <t xml:space="preserve">Customers in sales configuration at any time</t>
  </si>
  <si>
    <t xml:space="preserve">Case: ~10 customers in sales</t>
  </si>
  <si>
    <t xml:space="preserve">F4</t>
  </si>
  <si>
    <t xml:space="preserve">UAT test cycles per customer today</t>
  </si>
  <si>
    <t xml:space="preserve">cycles</t>
  </si>
  <si>
    <t xml:space="preserve">Weekly retest across a 4-week UAT</t>
  </si>
  <si>
    <t xml:space="preserve">F5</t>
  </si>
  <si>
    <t xml:space="preserve">UAT test cycles per customer with the Copilot</t>
  </si>
  <si>
    <t xml:space="preserve">Pilot hypothesis</t>
  </si>
  <si>
    <t xml:space="preserve">One cycle to find issues, one to confirm; conservative case uses 3</t>
  </si>
  <si>
    <t xml:space="preserve">F6</t>
  </si>
  <si>
    <t xml:space="preserve">Delivery hours per UAT cycle</t>
  </si>
  <si>
    <t xml:space="preserve">hours</t>
  </si>
  <si>
    <t xml:space="preserve">Test, diagnose and fix effort across delivery specialists per cycle</t>
  </si>
  <si>
    <t xml:space="preserve">F7</t>
  </si>
  <si>
    <t xml:space="preserve">SE rework hours saved per customer</t>
  </si>
  <si>
    <t xml:space="preserve">Reconfiguring settings sent back from UAT; conservative case uses 5</t>
  </si>
  <si>
    <t xml:space="preserve">F8</t>
  </si>
  <si>
    <t xml:space="preserve">Loaded cost per specialist / engineer hour</t>
  </si>
  <si>
    <t xml:space="preserve">INR</t>
  </si>
  <si>
    <t xml:space="preserve">~₹45 L a year fully loaded ÷ 1,800 productive hours</t>
  </si>
  <si>
    <t xml:space="preserve">F9</t>
  </si>
  <si>
    <t xml:space="preserve">Productive hours per FTE per year</t>
  </si>
  <si>
    <t xml:space="preserve">Standard planning figure after leave and overheads</t>
  </si>
  <si>
    <t xml:space="preserve">F10</t>
  </si>
  <si>
    <t xml:space="preserve">Average annual contract value (mid-market)</t>
  </si>
  <si>
    <t xml:space="preserve">Mid-market B2B SaaS contract</t>
  </si>
  <si>
    <t xml:space="preserve">F11</t>
  </si>
  <si>
    <t xml:space="preserve">Live production accounts</t>
  </si>
  <si>
    <t xml:space="preserve">accounts</t>
  </si>
  <si>
    <t xml:space="preserve">Mid-point reading of the case's 'hundreds'</t>
  </si>
  <si>
    <t xml:space="preserve">F12</t>
  </si>
  <si>
    <t xml:space="preserve">MVP team size</t>
  </si>
  <si>
    <t xml:space="preserve">FTE</t>
  </si>
  <si>
    <t xml:space="preserve">1 PM, 3 engineers, 1 AI engineer (roadmap)</t>
  </si>
  <si>
    <t xml:space="preserve">MVP duration to go-live (build + pilot)</t>
  </si>
  <si>
    <t xml:space="preserve">Build 12 + pilot 6-8 + rollout 4 weeks (roadmap)</t>
  </si>
  <si>
    <t xml:space="preserve">Hours per week</t>
  </si>
  <si>
    <t xml:space="preserve">Standard working week</t>
  </si>
  <si>
    <t xml:space="preserve">F13</t>
  </si>
  <si>
    <t xml:space="preserve">Client staff hours per UAT cycle</t>
  </si>
  <si>
    <t xml:space="preserve">2 client testers × 6 h retesting per cycle</t>
  </si>
  <si>
    <t xml:space="preserve">F14</t>
  </si>
  <si>
    <t xml:space="preserve">Model tokens per new customer</t>
  </si>
  <si>
    <t xml:space="preserve">million tokens</t>
  </si>
  <si>
    <t xml:space="preserve">Clarification ~1.5 M + UAT diagnosis ~2 M; to be measured in the evaluation run</t>
  </si>
  <si>
    <t xml:space="preserve">F15</t>
  </si>
  <si>
    <t xml:space="preserve">Blended model price</t>
  </si>
  <si>
    <t xml:space="preserve">INR per million tokens</t>
  </si>
  <si>
    <t xml:space="preserve">Mid-tier commercial model, blended input and output</t>
  </si>
  <si>
    <t xml:space="preserve">F16</t>
  </si>
  <si>
    <t xml:space="preserve">Cloud hosting, storage and observability</t>
  </si>
  <si>
    <t xml:space="preserve">INR per year</t>
  </si>
  <si>
    <t xml:space="preserve">~₹50k a month</t>
  </si>
  <si>
    <t xml:space="preserve">F17</t>
  </si>
  <si>
    <t xml:space="preserve">Rule-flagged deviations per live account per week (V2)</t>
  </si>
  <si>
    <t xml:space="preserve">deviations</t>
  </si>
  <si>
    <t xml:space="preserve">Deviation from the go-live baseline flagged by rules</t>
  </si>
  <si>
    <t xml:space="preserve">F18</t>
  </si>
  <si>
    <t xml:space="preserve">Share of deviations that are real drift</t>
  </si>
  <si>
    <t xml:space="preserve">share</t>
  </si>
  <si>
    <t xml:space="preserve">The rest is seasonal noise or sustained growth</t>
  </si>
  <si>
    <t xml:space="preserve">F19</t>
  </si>
  <si>
    <t xml:space="preserve">LLM tokens per drift investigation</t>
  </si>
  <si>
    <t xml:space="preserve">~50k tokens per multi-step investigation</t>
  </si>
  <si>
    <t xml:space="preserve">F20</t>
  </si>
  <si>
    <t xml:space="preserve">Fast-decision-layer tokens per triage call</t>
  </si>
  <si>
    <t xml:space="preserve">~2k input tokens per call</t>
  </si>
  <si>
    <t xml:space="preserve">F21</t>
  </si>
  <si>
    <t xml:space="preserve">Fast-decision-layer price</t>
  </si>
  <si>
    <t xml:space="preserve">~US$0.042 per M input tokens reported by an early Jev user, rounded up</t>
  </si>
  <si>
    <t xml:space="preserve">Outputs: base case (formulas)</t>
  </si>
  <si>
    <t xml:space="preserve">Output</t>
  </si>
  <si>
    <t xml:space="preserve">Calculation (codes)</t>
  </si>
  <si>
    <t xml:space="preserve">Go-lives per year</t>
  </si>
  <si>
    <t xml:space="preserve">customers/yr</t>
  </si>
  <si>
    <t xml:space="preserve">F1 ÷ F2 × 52 (Little's law)</t>
  </si>
  <si>
    <t xml:space="preserve">Implied weeks in sales configuration</t>
  </si>
  <si>
    <t xml:space="preserve">F3 ÷ go-lives × 52</t>
  </si>
  <si>
    <t xml:space="preserve">Delivery hours in UAT today</t>
  </si>
  <si>
    <t xml:space="preserve">hours/yr</t>
  </si>
  <si>
    <t xml:space="preserve">Go-lives × F4 × F6</t>
  </si>
  <si>
    <t xml:space="preserve">Hours saved per customer</t>
  </si>
  <si>
    <t xml:space="preserve">(F4 − F5) × F6 + F7</t>
  </si>
  <si>
    <t xml:space="preserve">Specialist capacity freed</t>
  </si>
  <si>
    <t xml:space="preserve">Go-lives × hours saved per customer</t>
  </si>
  <si>
    <t xml:space="preserve">FTE equivalent</t>
  </si>
  <si>
    <t xml:space="preserve">Hours freed ÷ F9</t>
  </si>
  <si>
    <t xml:space="preserve">Value of capacity freed</t>
  </si>
  <si>
    <t xml:space="preserve">INR/yr</t>
  </si>
  <si>
    <t xml:space="preserve">Hours freed × F8</t>
  </si>
  <si>
    <t xml:space="preserve">Weeks per UAT cycle</t>
  </si>
  <si>
    <t xml:space="preserve">F2 ÷ F4</t>
  </si>
  <si>
    <t xml:space="preserve">Go-live brought forward per customer</t>
  </si>
  <si>
    <t xml:space="preserve">(F4 − F5) × weeks per cycle</t>
  </si>
  <si>
    <t xml:space="preserve">Revenue recognised earlier</t>
  </si>
  <si>
    <t xml:space="preserve">Go-lives × F10 × weeks earlier ÷ 52 (timing, not new revenue)</t>
  </si>
  <si>
    <t xml:space="preserve">Annual contract value running unmonitored</t>
  </si>
  <si>
    <t xml:space="preserve">F11 × F10</t>
  </si>
  <si>
    <t xml:space="preserve">MVP cost to go-live</t>
  </si>
  <si>
    <t xml:space="preserve">F12 team × weeks × hours × F8</t>
  </si>
  <si>
    <t xml:space="preserve">Payback on capacity value</t>
  </si>
  <si>
    <t xml:space="preserve">months</t>
  </si>
  <si>
    <t xml:space="preserve">MVP cost ÷ annual capacity value × 12</t>
  </si>
  <si>
    <t xml:space="preserve">AI model run cost</t>
  </si>
  <si>
    <t xml:space="preserve">Go-lives × F14 × F15</t>
  </si>
  <si>
    <t xml:space="preserve">Client staff hours spent in UAT</t>
  </si>
  <si>
    <t xml:space="preserve">Go-lives × F4 × F13 (cost to the end user)</t>
  </si>
  <si>
    <t xml:space="preserve">Client staff hours saved</t>
  </si>
  <si>
    <t xml:space="preserve">Go-lives × (F4 − F5) × F13</t>
  </si>
  <si>
    <t xml:space="preserve">Customer-weeks of waiting removed</t>
  </si>
  <si>
    <t xml:space="preserve">weeks/yr</t>
  </si>
  <si>
    <t xml:space="preserve">Go-lives × weeks brought forward</t>
  </si>
  <si>
    <t xml:space="preserve">Deviations triaged a year (V2)</t>
  </si>
  <si>
    <t xml:space="preserve">deviations/yr</t>
  </si>
  <si>
    <t xml:space="preserve">F11 × F17 × 52</t>
  </si>
  <si>
    <t xml:space="preserve">V2 model cost, LLM investigates every deviation</t>
  </si>
  <si>
    <t xml:space="preserve">Deviations × F19 × F15</t>
  </si>
  <si>
    <t xml:space="preserve">V2 model cost, fast decision layer triages first</t>
  </si>
  <si>
    <t xml:space="preserve">Deviations × F20 × F21 + deviations × F18 × F19 × F15</t>
  </si>
  <si>
    <t xml:space="preserve">V2 model cost avoided by triage</t>
  </si>
  <si>
    <t xml:space="preserve">LLM-only − triage-first</t>
  </si>
  <si>
    <t xml:space="preserve">Annual run cost (MVP)</t>
  </si>
  <si>
    <t xml:space="preserve">AI model run cost + F16</t>
  </si>
  <si>
    <t xml:space="preserve">Cost per LLM drift investigation</t>
  </si>
  <si>
    <t xml:space="preserve">INR/call</t>
  </si>
  <si>
    <t xml:space="preserve">F19 × F15</t>
  </si>
  <si>
    <t xml:space="preserve">Cost per fast-decision-layer call</t>
  </si>
  <si>
    <t xml:space="preserve">F20 × F21</t>
  </si>
  <si>
    <t xml:space="preserve">Model cost per new customer</t>
  </si>
  <si>
    <t xml:space="preserve">INR/customer</t>
  </si>
  <si>
    <t xml:space="preserve">F14 × F15</t>
  </si>
  <si>
    <t xml:space="preserve">Conservative case: UAT cycles fall only to 3, SE rework saved only 5 h</t>
  </si>
  <si>
    <t xml:space="preserve">Changed input</t>
  </si>
  <si>
    <t xml:space="preserve">Note</t>
  </si>
  <si>
    <t xml:space="preserve">UAT test cycles with the Copilot (conservative)</t>
  </si>
  <si>
    <t xml:space="preserve">Base: 2</t>
  </si>
  <si>
    <t xml:space="preserve">SE rework hours saved per customer (conservative)</t>
  </si>
  <si>
    <t xml:space="preserve">Base: 10</t>
  </si>
  <si>
    <t xml:space="preserve">Output (conservative)</t>
  </si>
  <si>
    <t xml:space="preserve">Calculation</t>
  </si>
  <si>
    <t xml:space="preserve">(F4 − F5c) × F6 + F7c</t>
  </si>
  <si>
    <t xml:space="preserve">(F4 − F5c) × weeks per cycle</t>
  </si>
  <si>
    <t xml:space="preserve">Go-lives × F10 × weeks earlier ÷ 52</t>
  </si>
  <si>
    <t xml:space="preserve">Go-lives × (F4 − F5c) × F13</t>
  </si>
  <si>
    <t xml:space="preserve">MVP cost ÷ conservative capacity value × 12</t>
  </si>
  <si>
    <t xml:space="preserve">Where to start: weighted prioritisation</t>
  </si>
  <si>
    <t xml:space="preserve">Ratings 1 (worst) to 5 (best) are our assessment from the as-is analysis. Change weights or ratings and the scores recalculate.</t>
  </si>
  <si>
    <t xml:space="preserve">Criterion</t>
  </si>
  <si>
    <t xml:space="preserve">Cost of the problem</t>
  </si>
  <si>
    <t xml:space="preserve">Frequency</t>
  </si>
  <si>
    <t xml:space="preserve">Feasibility (small team, existing APIs)</t>
  </si>
  <si>
    <t xml:space="preserve">Safety for live customers</t>
  </si>
  <si>
    <t xml:space="preserve">Speed to prove value</t>
  </si>
  <si>
    <t xml:space="preserve">Total</t>
  </si>
  <si>
    <t xml:space="preserve">Weight</t>
  </si>
  <si>
    <t xml:space="preserve">Opportunity</t>
  </si>
  <si>
    <t xml:space="preserve">Weighted score</t>
  </si>
  <si>
    <t xml:space="preserve">Decision</t>
  </si>
  <si>
    <t xml:space="preserve">A. Sales: requirement clarification + configuration checks</t>
  </si>
  <si>
    <t xml:space="preserve">MVP</t>
  </si>
  <si>
    <t xml:space="preserve">B. UAT: diagnosis and tuning</t>
  </si>
  <si>
    <t xml:space="preserve">C. Production: AI fit and drift monitoring</t>
  </si>
  <si>
    <t xml:space="preserve">V2</t>
  </si>
  <si>
    <t xml:space="preserve">D. Production: rule-based safety net (H1, H3, H4)</t>
  </si>
  <si>
    <t xml:space="preserve">Synthetic customers</t>
  </si>
  <si>
    <t xml:space="preserve">Volumes are orders per day. Peak multiplier and peak calendar feed the capacity envelope (M7-M10, A14).</t>
  </si>
  <si>
    <t xml:space="preserve">ID</t>
  </si>
  <si>
    <t xml:space="preserve">Customer (fictional)</t>
  </si>
  <si>
    <t xml:space="preserve">Segment</t>
  </si>
  <si>
    <t xml:space="preserve">City</t>
  </si>
  <si>
    <t xml:space="preserve">Normal orders/day</t>
  </si>
  <si>
    <t xml:space="preserve">Peak multiplier</t>
  </si>
  <si>
    <t xml:space="preserve">Known peaks</t>
  </si>
  <si>
    <t xml:space="preserve">Warehouses</t>
  </si>
  <si>
    <t xml:space="preserve">Order source</t>
  </si>
  <si>
    <t xml:space="preserve">Carriers</t>
  </si>
  <si>
    <t xml:space="preserve">Stage</t>
  </si>
  <si>
    <t xml:space="preserve">Live since</t>
  </si>
  <si>
    <t xml:space="preserve">C01</t>
  </si>
  <si>
    <t xml:space="preserve">Aravali Agro Distributors</t>
  </si>
  <si>
    <t xml:space="preserve">Distributor</t>
  </si>
  <si>
    <t xml:space="preserve">Jaipur</t>
  </si>
  <si>
    <t xml:space="preserve">Rabi &amp; Kharif sowing seasons</t>
  </si>
  <si>
    <t xml:space="preserve">ERP</t>
  </si>
  <si>
    <t xml:space="preserve">2 courier + 1 freight</t>
  </si>
  <si>
    <t xml:space="preserve">Sales</t>
  </si>
  <si>
    <t xml:space="preserve">C02</t>
  </si>
  <si>
    <t xml:space="preserve">Kesar Naturals</t>
  </si>
  <si>
    <t xml:space="preserve">D2C brand</t>
  </si>
  <si>
    <t xml:space="preserve">Pune</t>
  </si>
  <si>
    <t xml:space="preserve">Diwali, year-end sale</t>
  </si>
  <si>
    <t xml:space="preserve">Web store</t>
  </si>
  <si>
    <t xml:space="preserve">C03</t>
  </si>
  <si>
    <t xml:space="preserve">Konark Auto Spares</t>
  </si>
  <si>
    <t xml:space="preserve">Bhubaneswar</t>
  </si>
  <si>
    <t xml:space="preserve">Diwali</t>
  </si>
  <si>
    <t xml:space="preserve">C04</t>
  </si>
  <si>
    <t xml:space="preserve">Meghdoot 3PL Services</t>
  </si>
  <si>
    <t xml:space="preserve">3PL</t>
  </si>
  <si>
    <t xml:space="preserve">Nagpur</t>
  </si>
  <si>
    <t xml:space="preserve">Diwali, month-end</t>
  </si>
  <si>
    <t xml:space="preserve">4 client systems</t>
  </si>
  <si>
    <t xml:space="preserve">3 courier + 1 freight</t>
  </si>
  <si>
    <t xml:space="preserve">C05</t>
  </si>
  <si>
    <t xml:space="preserve">Tanvi Fashion House</t>
  </si>
  <si>
    <t xml:space="preserve">Surat</t>
  </si>
  <si>
    <t xml:space="preserve">Diwali, wedding season, EOSS</t>
  </si>
  <si>
    <t xml:space="preserve">2 courier</t>
  </si>
  <si>
    <t xml:space="preserve">C06</t>
  </si>
  <si>
    <t xml:space="preserve">Sahyadri FMCG Distributors</t>
  </si>
  <si>
    <t xml:space="preserve">Nashik</t>
  </si>
  <si>
    <t xml:space="preserve">Month-end, Diwali</t>
  </si>
  <si>
    <t xml:space="preserve">1 courier + 2 freight</t>
  </si>
  <si>
    <t xml:space="preserve">C07</t>
  </si>
  <si>
    <t xml:space="preserve">Vindhya Electricals</t>
  </si>
  <si>
    <t xml:space="preserve">Indore</t>
  </si>
  <si>
    <t xml:space="preserve">Summer (Apr-Jun)</t>
  </si>
  <si>
    <t xml:space="preserve">1 courier + 1 freight</t>
  </si>
  <si>
    <t xml:space="preserve">C08</t>
  </si>
  <si>
    <t xml:space="preserve">Nilgiri Home Essentials</t>
  </si>
  <si>
    <t xml:space="preserve">Coimbatore</t>
  </si>
  <si>
    <t xml:space="preserve">Diwali, Pongal</t>
  </si>
  <si>
    <t xml:space="preserve">C09</t>
  </si>
  <si>
    <t xml:space="preserve">Ganga Steel Traders</t>
  </si>
  <si>
    <t xml:space="preserve">Kanpur</t>
  </si>
  <si>
    <t xml:space="preserve">Quarter-end</t>
  </si>
  <si>
    <t xml:space="preserve">2 freight</t>
  </si>
  <si>
    <t xml:space="preserve">UAT</t>
  </si>
  <si>
    <t xml:space="preserve">C10</t>
  </si>
  <si>
    <t xml:space="preserve">Rangoli Home Decor</t>
  </si>
  <si>
    <t xml:space="preserve">C11</t>
  </si>
  <si>
    <t xml:space="preserve">Kaveri Kitchenware</t>
  </si>
  <si>
    <t xml:space="preserve">Bengaluru</t>
  </si>
  <si>
    <t xml:space="preserve">Diwali, Onam</t>
  </si>
  <si>
    <t xml:space="preserve">C12</t>
  </si>
  <si>
    <t xml:space="preserve">Deccan Link 3PL</t>
  </si>
  <si>
    <t xml:space="preserve">Hyderabad</t>
  </si>
  <si>
    <t xml:space="preserve">3 client systems</t>
  </si>
  <si>
    <t xml:space="preserve">C13</t>
  </si>
  <si>
    <t xml:space="preserve">Pavitra Organics</t>
  </si>
  <si>
    <t xml:space="preserve">Dehradun</t>
  </si>
  <si>
    <t xml:space="preserve">C14</t>
  </si>
  <si>
    <t xml:space="preserve">Shakti Industrial Supplies</t>
  </si>
  <si>
    <t xml:space="preserve">Ludhiana</t>
  </si>
  <si>
    <t xml:space="preserve">Production</t>
  </si>
  <si>
    <t xml:space="preserve">Jan 2026</t>
  </si>
  <si>
    <t xml:space="preserve">C15</t>
  </si>
  <si>
    <t xml:space="preserve">Utsav Gifting Co.</t>
  </si>
  <si>
    <t xml:space="preserve">Delhi</t>
  </si>
  <si>
    <t xml:space="preserve">Diwali, Rakhi, year-end</t>
  </si>
  <si>
    <t xml:space="preserve">3 courier</t>
  </si>
  <si>
    <t xml:space="preserve">Mar 2026</t>
  </si>
  <si>
    <t xml:space="preserve">C16</t>
  </si>
  <si>
    <t xml:space="preserve">Narmada Agri Inputs</t>
  </si>
  <si>
    <t xml:space="preserve">Vadodara</t>
  </si>
  <si>
    <t xml:space="preserve">Sowing seasons</t>
  </si>
  <si>
    <t xml:space="preserve">Nov 2025</t>
  </si>
  <si>
    <t xml:space="preserve">C17</t>
  </si>
  <si>
    <t xml:space="preserve">Brahmaputra Tea Traders</t>
  </si>
  <si>
    <t xml:space="preserve">Guwahati</t>
  </si>
  <si>
    <t xml:space="preserve">Flush seasons</t>
  </si>
  <si>
    <t xml:space="preserve">Feb 2026</t>
  </si>
  <si>
    <t xml:space="preserve">C18</t>
  </si>
  <si>
    <t xml:space="preserve">Lotus Living Furniture</t>
  </si>
  <si>
    <t xml:space="preserve">Kochi</t>
  </si>
  <si>
    <t xml:space="preserve">Onam, Diwali</t>
  </si>
  <si>
    <t xml:space="preserve">Dec 2025</t>
  </si>
  <si>
    <t xml:space="preserve">C19</t>
  </si>
  <si>
    <t xml:space="preserve">Swift Basket Grocers</t>
  </si>
  <si>
    <t xml:space="preserve">Mumbai</t>
  </si>
  <si>
    <t xml:space="preserve">Festive weekends</t>
  </si>
  <si>
    <t xml:space="preserve">Oct 2025</t>
  </si>
  <si>
    <t xml:space="preserve">C20</t>
  </si>
  <si>
    <t xml:space="preserve">Chambal Cement Dealers</t>
  </si>
  <si>
    <t xml:space="preserve">Kota</t>
  </si>
  <si>
    <t xml:space="preserve">Month-end</t>
  </si>
  <si>
    <t xml:space="preserve">Apr 2026</t>
  </si>
  <si>
    <t xml:space="preserve">C21</t>
  </si>
  <si>
    <t xml:space="preserve">Marina Link 3PL</t>
  </si>
  <si>
    <t xml:space="preserve">Chennai</t>
  </si>
  <si>
    <t xml:space="preserve">Diwali, Pongal, month-end</t>
  </si>
  <si>
    <t xml:space="preserve">5 client systems</t>
  </si>
  <si>
    <t xml:space="preserve">Sep 2025</t>
  </si>
  <si>
    <t xml:space="preserve">Logistics template (on the domain-neutral base schema)</t>
  </si>
  <si>
    <t xml:space="preserve">Client configuration = this template + the client's signed-off modifications. The Copilot never changes the base schema.</t>
  </si>
  <si>
    <t xml:space="preserve">Module</t>
  </si>
  <si>
    <t xml:space="preserve">Block</t>
  </si>
  <si>
    <t xml:space="preserve">Setting / logic</t>
  </si>
  <si>
    <t xml:space="preserve">Template default</t>
  </si>
  <si>
    <t xml:space="preserve">Used by</t>
  </si>
  <si>
    <t xml:space="preserve">Metrics affected</t>
  </si>
  <si>
    <t xml:space="preserve">Order Management</t>
  </si>
  <si>
    <t xml:space="preserve">THR-01</t>
  </si>
  <si>
    <t xml:space="preserve">Threshold</t>
  </si>
  <si>
    <t xml:space="preserve">credit_limit (per buyer)</t>
  </si>
  <si>
    <t xml:space="preserve">10,00,000</t>
  </si>
  <si>
    <t xml:space="preserve">RULE-02</t>
  </si>
  <si>
    <t xml:space="preserve">M1, M3</t>
  </si>
  <si>
    <t xml:space="preserve">THR-03</t>
  </si>
  <si>
    <t xml:space="preserve">approval_limit</t>
  </si>
  <si>
    <t xml:space="preserve">5,00,000</t>
  </si>
  <si>
    <t xml:space="preserve">RULE-12</t>
  </si>
  <si>
    <t xml:space="preserve">M1, M10</t>
  </si>
  <si>
    <t xml:space="preserve">THR-05</t>
  </si>
  <si>
    <t xml:space="preserve">approval_sla</t>
  </si>
  <si>
    <t xml:space="preserve">4</t>
  </si>
  <si>
    <t xml:space="preserve">business hours</t>
  </si>
  <si>
    <t xml:space="preserve">WF-02 / S3</t>
  </si>
  <si>
    <t xml:space="preserve">M1</t>
  </si>
  <si>
    <t xml:space="preserve">Rule</t>
  </si>
  <si>
    <t xml:space="preserve">credit_hold: buyer outstanding + order value &gt; THR-01 -&gt; hold, route to WF-03</t>
  </si>
  <si>
    <t xml:space="preserve">enabled</t>
  </si>
  <si>
    <t xml:space="preserve">WF-03</t>
  </si>
  <si>
    <t xml:space="preserve">high_value_approval: order value &gt; THR-03 -&gt; route to WF-02</t>
  </si>
  <si>
    <t xml:space="preserve">WF-02</t>
  </si>
  <si>
    <t xml:space="preserve">Workflow</t>
  </si>
  <si>
    <t xml:space="preserve">High-value approval: S1 validate &gt; S2 stock check &gt; S3 finance approval &gt; S4 release</t>
  </si>
  <si>
    <t xml:space="preserve">S3 role = finance_approver</t>
  </si>
  <si>
    <t xml:space="preserve">Credit hold release: S1 hold &gt; S2 credit review</t>
  </si>
  <si>
    <t xml:space="preserve">S2 role = credit_controller</t>
  </si>
  <si>
    <t xml:space="preserve">INT-01</t>
  </si>
  <si>
    <t xml:space="preserve">Integration</t>
  </si>
  <si>
    <t xml:space="preserve">Order inbound (ERP / web store)</t>
  </si>
  <si>
    <t xml:space="preserve">API v3, sync 15 min, 3 retries</t>
  </si>
  <si>
    <t xml:space="preserve">RULE-02, RULE-12</t>
  </si>
  <si>
    <t xml:space="preserve">M6, C3</t>
  </si>
  <si>
    <t xml:space="preserve">Fulfilment &amp; Allocation</t>
  </si>
  <si>
    <t xml:space="preserve">RULE-21</t>
  </si>
  <si>
    <t xml:space="preserve">routing: pincode region -&gt; warehouse (specific before general)</t>
  </si>
  <si>
    <t xml:space="preserve">region map</t>
  </si>
  <si>
    <t xml:space="preserve">WF-04</t>
  </si>
  <si>
    <t xml:space="preserve">M2, M3</t>
  </si>
  <si>
    <t xml:space="preserve">RULE-22</t>
  </si>
  <si>
    <t xml:space="preserve">stock_out_fallback -&gt; backup warehouse</t>
  </si>
  <si>
    <t xml:space="preserve">none (must set)</t>
  </si>
  <si>
    <t xml:space="preserve">M2</t>
  </si>
  <si>
    <t xml:space="preserve">THR-07</t>
  </si>
  <si>
    <t xml:space="preserve">allocation_timeout</t>
  </si>
  <si>
    <t xml:space="preserve">30</t>
  </si>
  <si>
    <t xml:space="preserve">minutes</t>
  </si>
  <si>
    <t xml:space="preserve">M2, M10</t>
  </si>
  <si>
    <t xml:space="preserve">Allocation &amp; exceptions: S1 auto-allocate &gt; S2 exception queue</t>
  </si>
  <si>
    <t xml:space="preserve">S2 role = warehouse_planner</t>
  </si>
  <si>
    <t xml:space="preserve">M3, M10</t>
  </si>
  <si>
    <t xml:space="preserve">INT-02</t>
  </si>
  <si>
    <t xml:space="preserve">Warehouse system: stock &amp; allocation</t>
  </si>
  <si>
    <t xml:space="preserve">API v2, sync 10 min, 3 retries</t>
  </si>
  <si>
    <t xml:space="preserve">RULE-21, RULE-22</t>
  </si>
  <si>
    <t xml:space="preserve">M2, M6</t>
  </si>
  <si>
    <t xml:space="preserve">Shipping &amp; Delivery</t>
  </si>
  <si>
    <t xml:space="preserve">THR-09</t>
  </si>
  <si>
    <t xml:space="preserve">dispatch_sla</t>
  </si>
  <si>
    <t xml:space="preserve">24</t>
  </si>
  <si>
    <t xml:space="preserve">WF-05, RULE-31</t>
  </si>
  <si>
    <t xml:space="preserve">M4, M5</t>
  </si>
  <si>
    <t xml:space="preserve">THR-10</t>
  </si>
  <si>
    <t xml:space="preserve">escalation_after_sla</t>
  </si>
  <si>
    <t xml:space="preserve">6</t>
  </si>
  <si>
    <t xml:space="preserve">RULE-31</t>
  </si>
  <si>
    <t xml:space="preserve">M5</t>
  </si>
  <si>
    <t xml:space="preserve">THR-11</t>
  </si>
  <si>
    <t xml:space="preserve">bulky_weight</t>
  </si>
  <si>
    <t xml:space="preserve">100</t>
  </si>
  <si>
    <t xml:space="preserve">kg</t>
  </si>
  <si>
    <t xml:space="preserve">RULE-32</t>
  </si>
  <si>
    <t xml:space="preserve">M4</t>
  </si>
  <si>
    <t xml:space="preserve">THR-13</t>
  </si>
  <si>
    <t xml:space="preserve">dispatch_cutoff_time</t>
  </si>
  <si>
    <t xml:space="preserve">16:00</t>
  </si>
  <si>
    <t xml:space="preserve">time</t>
  </si>
  <si>
    <t xml:space="preserve">late_escalation: not dispatched by THR-09 + THR-10 -&gt; escalate to dispatch_lead</t>
  </si>
  <si>
    <t xml:space="preserve">carrier_selection: weight &gt; THR-11 -&gt; freight; else courier by zone</t>
  </si>
  <si>
    <t xml:space="preserve">WF-05</t>
  </si>
  <si>
    <t xml:space="preserve">M3, M4</t>
  </si>
  <si>
    <t xml:space="preserve">Dispatch: S1 pick-pack &gt; S2 carrier booking &gt; S3 handover</t>
  </si>
  <si>
    <t xml:space="preserve">S3 role = dispatch_lead</t>
  </si>
  <si>
    <t xml:space="preserve">M4, M10</t>
  </si>
  <si>
    <t xml:space="preserve">INT-03</t>
  </si>
  <si>
    <t xml:space="preserve">Carrier booking &amp; tracking</t>
  </si>
  <si>
    <t xml:space="preserve">API v2, sync 5 min, 3 retries, rate limit 600 calls/hr</t>
  </si>
  <si>
    <t xml:space="preserve">RULE-32, WF-05</t>
  </si>
  <si>
    <t xml:space="preserve">M6, M9</t>
  </si>
  <si>
    <t xml:space="preserve">Admin &amp; Access</t>
  </si>
  <si>
    <t xml:space="preserve">ADM-01</t>
  </si>
  <si>
    <t xml:space="preserve">Setting</t>
  </si>
  <si>
    <t xml:space="preserve">business_calendar</t>
  </si>
  <si>
    <t xml:space="preserve">Mon-Sat, 09:00-18:00</t>
  </si>
  <si>
    <t xml:space="preserve">THR-05, THR-09</t>
  </si>
  <si>
    <t xml:space="preserve">M1, M4</t>
  </si>
  <si>
    <t xml:space="preserve">ADM-02</t>
  </si>
  <si>
    <t xml:space="preserve">roles: finance_approver, credit_controller, warehouse_planner, dispatch_lead</t>
  </si>
  <si>
    <t xml:space="preserve">&gt;= 1 active user each</t>
  </si>
  <si>
    <t xml:space="preserve">WF-02..05</t>
  </si>
  <si>
    <t xml:space="preserve">C4</t>
  </si>
  <si>
    <t xml:space="preserve">UAT metric checklist and production health checks</t>
  </si>
  <si>
    <t xml:space="preserve">Targets are template defaults; each customer's targets are agreed and signed off. M1-M10 values at go-live become the production baseline.</t>
  </si>
  <si>
    <t xml:space="preserve">Metric</t>
  </si>
  <si>
    <t xml:space="preserve">Definition</t>
  </si>
  <si>
    <t xml:space="preserve">Default target</t>
  </si>
  <si>
    <t xml:space="preserve">Event source (A3)</t>
  </si>
  <si>
    <t xml:space="preserve">Settings it depends on</t>
  </si>
  <si>
    <t xml:space="preserve">Performance (carried to production)</t>
  </si>
  <si>
    <t xml:space="preserve">Approval cycle time</t>
  </si>
  <si>
    <t xml:space="preserve">Order Mgmt</t>
  </si>
  <si>
    <t xml:space="preserve">Median time from approval request to decision</t>
  </si>
  <si>
    <t xml:space="preserve">&lt;= 4 business hours</t>
  </si>
  <si>
    <t xml:space="preserve">step_completed (WF-02/S3)</t>
  </si>
  <si>
    <t xml:space="preserve">THR-03, THR-05, WF-02</t>
  </si>
  <si>
    <t xml:space="preserve">Auto-routing accuracy</t>
  </si>
  <si>
    <t xml:space="preserve">Fulfilment</t>
  </si>
  <si>
    <t xml:space="preserve">% orders allocated to the correct warehouse with no manual reassignment</t>
  </si>
  <si>
    <t xml:space="preserve">&gt;= 95%</t>
  </si>
  <si>
    <t xml:space="preserve">rule_fired, manual_override</t>
  </si>
  <si>
    <t xml:space="preserve">RULE-21, RULE-22, INT-02</t>
  </si>
  <si>
    <t xml:space="preserve">M3</t>
  </si>
  <si>
    <t xml:space="preserve">Manual override rate</t>
  </si>
  <si>
    <t xml:space="preserve">All</t>
  </si>
  <si>
    <t xml:space="preserve">% orders where a user bypassed a rule or step</t>
  </si>
  <si>
    <t xml:space="preserve">&lt;= 5%</t>
  </si>
  <si>
    <t xml:space="preserve">manual_override</t>
  </si>
  <si>
    <t xml:space="preserve">Any rule</t>
  </si>
  <si>
    <t xml:space="preserve">On-time dispatch</t>
  </si>
  <si>
    <t xml:space="preserve">Shipping</t>
  </si>
  <si>
    <t xml:space="preserve">% orders dispatched within dispatch SLA</t>
  </si>
  <si>
    <t xml:space="preserve">step_completed (WF-05)</t>
  </si>
  <si>
    <t xml:space="preserve">THR-09, THR-11, THR-13, RULE-32, WF-05</t>
  </si>
  <si>
    <t xml:space="preserve">Escalation rate</t>
  </si>
  <si>
    <t xml:space="preserve">% orders that triggered a late escalation</t>
  </si>
  <si>
    <t xml:space="preserve">&lt;= 3%</t>
  </si>
  <si>
    <t xml:space="preserve">rule_fired (RULE-31)</t>
  </si>
  <si>
    <t xml:space="preserve">THR-10, RULE-31, THR-13</t>
  </si>
  <si>
    <t xml:space="preserve">M6</t>
  </si>
  <si>
    <t xml:space="preserve">Integration sync success &amp; delay</t>
  </si>
  <si>
    <t xml:space="preserve">% successful syncs; p95 sync delay</t>
  </si>
  <si>
    <t xml:space="preserve">&gt;= 99%; &lt;= 15 min</t>
  </si>
  <si>
    <t xml:space="preserve">integration_sync</t>
  </si>
  <si>
    <t xml:space="preserve">INT-01, INT-02, INT-03</t>
  </si>
  <si>
    <t xml:space="preserve">M7</t>
  </si>
  <si>
    <t xml:space="preserve">Load &amp; capacity (carried to production)</t>
  </si>
  <si>
    <t xml:space="preserve">Concurrent users</t>
  </si>
  <si>
    <t xml:space="preserve">Platform</t>
  </si>
  <si>
    <t xml:space="preserve">p95 response time at 1.5x expected peak logged-in users</t>
  </si>
  <si>
    <t xml:space="preserve">&lt;= 2 s</t>
  </si>
  <si>
    <t xml:space="preserve">load test / platform telemetry</t>
  </si>
  <si>
    <t xml:space="preserve">(platform)</t>
  </si>
  <si>
    <t xml:space="preserve">M8</t>
  </si>
  <si>
    <t xml:space="preserve">Order throughput</t>
  </si>
  <si>
    <t xml:space="preserve">Orders/hour processed without backlog at expected peak x festive multiplier</t>
  </si>
  <si>
    <t xml:space="preserve">No backlog at peak</t>
  </si>
  <si>
    <t xml:space="preserve">load test / step_completed</t>
  </si>
  <si>
    <t xml:space="preserve">THR-07, WF-04, WF-05</t>
  </si>
  <si>
    <t xml:space="preserve">M9</t>
  </si>
  <si>
    <t xml:space="preserve">Integration load</t>
  </si>
  <si>
    <t xml:space="preserve">Rate-limit errors from ERP / warehouse / carrier at peak volume</t>
  </si>
  <si>
    <t xml:space="preserve">Zero</t>
  </si>
  <si>
    <t xml:space="preserve">INT-01..03</t>
  </si>
  <si>
    <t xml:space="preserve">M10</t>
  </si>
  <si>
    <t xml:space="preserve">Workflow capacity</t>
  </si>
  <si>
    <t xml:space="preserve">Approval and exception queues per assigned person clear within SLA at peak</t>
  </si>
  <si>
    <t xml:space="preserve">Within SLA at peak</t>
  </si>
  <si>
    <t xml:space="preserve">step_completed</t>
  </si>
  <si>
    <t xml:space="preserve">THR-03, THR-07, WF-02, WF-04</t>
  </si>
  <si>
    <t xml:space="preserve">C1</t>
  </si>
  <si>
    <t xml:space="preserve">Correctness (one-time, go-live)</t>
  </si>
  <si>
    <t xml:space="preserve">End-to-end scenarios</t>
  </si>
  <si>
    <t xml:space="preserve">Agreed scenarios complete correctly (normal, high-value, stock-out, late shipment, carrier failure)</t>
  </si>
  <si>
    <t xml:space="preserve">100% critical; &gt;= 95% overall</t>
  </si>
  <si>
    <t xml:space="preserve">UAT scenario runs</t>
  </si>
  <si>
    <t xml:space="preserve">C2</t>
  </si>
  <si>
    <t xml:space="preserve">Rule coverage</t>
  </si>
  <si>
    <t xml:space="preserve">Every rule fires at least once in testing; no conflicting rules</t>
  </si>
  <si>
    <t xml:space="preserve">100%</t>
  </si>
  <si>
    <t xml:space="preserve">rule_fired</t>
  </si>
  <si>
    <t xml:space="preserve">All rules</t>
  </si>
  <si>
    <t xml:space="preserve">C3</t>
  </si>
  <si>
    <t xml:space="preserve">Integration data accuracy</t>
  </si>
  <si>
    <t xml:space="preserve">Order values and fields match between source system and Vertex Ops on a sample</t>
  </si>
  <si>
    <t xml:space="preserve">100% on sample</t>
  </si>
  <si>
    <t xml:space="preserve">reconciliation sample</t>
  </si>
  <si>
    <t xml:space="preserve">Role completeness</t>
  </si>
  <si>
    <t xml:space="preserve">Admin</t>
  </si>
  <si>
    <t xml:space="preserve">Every workflow step has an active user in its assigned role</t>
  </si>
  <si>
    <t xml:space="preserve">Production health checks (rule-based)</t>
  </si>
  <si>
    <t xml:space="preserve">Check</t>
  </si>
  <si>
    <t xml:space="preserve">Severity</t>
  </si>
  <si>
    <t xml:space="preserve">Routed to</t>
  </si>
  <si>
    <t xml:space="preserve">Phase</t>
  </si>
  <si>
    <t xml:space="preserve">H1</t>
  </si>
  <si>
    <t xml:space="preserve">Integration failing</t>
  </si>
  <si>
    <t xml:space="preserve">Sync success &lt; 95% over 1 hour, or authentication errors</t>
  </si>
  <si>
    <t xml:space="preserve">P1</t>
  </si>
  <si>
    <t xml:space="preserve">Support -&gt; Platform eng. (customer-side: CSM -&gt; customer IT)</t>
  </si>
  <si>
    <t xml:space="preserve">H2</t>
  </si>
  <si>
    <t xml:space="preserve">Integration slow</t>
  </si>
  <si>
    <t xml:space="preserve">p95 sync delay &gt; 2x target for 2 hours</t>
  </si>
  <si>
    <t xml:space="preserve">P2</t>
  </si>
  <si>
    <t xml:space="preserve">Support -&gt; Platform eng.</t>
  </si>
  <si>
    <t xml:space="preserve">H3</t>
  </si>
  <si>
    <t xml:space="preserve">Orders stuck</t>
  </si>
  <si>
    <t xml:space="preserve">Orders in a workflow step &gt; 2x its SLA</t>
  </si>
  <si>
    <t xml:space="preserve">CSM -&gt; customer admin</t>
  </si>
  <si>
    <t xml:space="preserve">H4</t>
  </si>
  <si>
    <t xml:space="preserve">Approver missing</t>
  </si>
  <si>
    <t xml:space="preserve">An approval step's role has no active user</t>
  </si>
  <si>
    <t xml:space="preserve">H5</t>
  </si>
  <si>
    <t xml:space="preserve">Rule never fires</t>
  </si>
  <si>
    <t xml:space="preserve">A normally-firing rule has not fired for 7 days</t>
  </si>
  <si>
    <t xml:space="preserve">P3</t>
  </si>
  <si>
    <t xml:space="preserve">Config specialist (delivery)</t>
  </si>
  <si>
    <t xml:space="preserve">H6</t>
  </si>
  <si>
    <t xml:space="preserve">Rule firing spike</t>
  </si>
  <si>
    <t xml:space="preserve">A rule fires &gt; 3x its normal rate</t>
  </si>
  <si>
    <t xml:space="preserve">H7</t>
  </si>
  <si>
    <t xml:space="preserve">Data rejections</t>
  </si>
  <si>
    <t xml:space="preserve">Orders rejected for missing/invalid fields &gt; 2% in a day</t>
  </si>
  <si>
    <t xml:space="preserve">H8</t>
  </si>
  <si>
    <t xml:space="preserve">Metric breach</t>
  </si>
  <si>
    <t xml:space="preserve">Any of M1-M6 below target for 3 consecutive days</t>
  </si>
  <si>
    <t xml:space="preserve">CSM -&gt; Level 2 fit review</t>
  </si>
  <si>
    <t xml:space="preserve">H9</t>
  </si>
  <si>
    <t xml:space="preserve">Approaching capacity</t>
  </si>
  <si>
    <t xml:space="preserve">Load &gt; 80% of tested capacity envelope (M7-M10)</t>
  </si>
  <si>
    <t xml:space="preserve">CSM + Platform eng.</t>
  </si>
  <si>
    <t xml:space="preserve">H10</t>
  </si>
  <si>
    <t xml:space="preserve">Exceeding capacity</t>
  </si>
  <si>
    <t xml:space="preserve">Load &gt; 100% of tested capacity envelope</t>
  </si>
  <si>
    <t xml:space="preserve">Platform eng. + CSM</t>
  </si>
  <si>
    <t xml:space="preserve">H11</t>
  </si>
  <si>
    <t xml:space="preserve">Slow responses</t>
  </si>
  <si>
    <t xml:space="preserve">p95 response time &gt; 2x target</t>
  </si>
  <si>
    <t xml:space="preserve">Platform eng.</t>
  </si>
  <si>
    <t xml:space="preserve">H12</t>
  </si>
  <si>
    <t xml:space="preserve">Integration throttled</t>
  </si>
  <si>
    <t xml:space="preserve">Rate-limit errors from ERP / warehouse / carrier</t>
  </si>
  <si>
    <t xml:space="preserve">Config specialist (sync frequency / batching)</t>
  </si>
  <si>
    <t xml:space="preserve">H13</t>
  </si>
  <si>
    <t xml:space="preserve">Workflow queue overload</t>
  </si>
  <si>
    <t xml:space="preserve">Approval or exception queue above capacity</t>
  </si>
  <si>
    <t xml:space="preserve">MVP · Sales · Requirement Clarification Agent</t>
  </si>
  <si>
    <t xml:space="preserve">Ambiguity is judged against the schema: a requirement is ambiguous if it does not give a concrete value for the setting it maps to.</t>
  </si>
  <si>
    <t xml:space="preserve">Case</t>
  </si>
  <si>
    <t xml:space="preserve">Customer</t>
  </si>
  <si>
    <t xml:space="preserve">Handoff note (input)</t>
  </si>
  <si>
    <t xml:space="preserve">Linked setting(s)</t>
  </si>
  <si>
    <t xml:space="preserve">Ambiguity type</t>
  </si>
  <si>
    <t xml:space="preserve">Flag?</t>
  </si>
  <si>
    <t xml:space="preserve">Expected question (gist)</t>
  </si>
  <si>
    <t xml:space="preserve">Default offered</t>
  </si>
  <si>
    <t xml:space="preserve">Priority</t>
  </si>
  <si>
    <t xml:space="preserve">Simulated customer answer</t>
  </si>
  <si>
    <t xml:space="preserve">Expected resolved value</t>
  </si>
  <si>
    <t xml:space="preserve">Expected final status</t>
  </si>
  <si>
    <t xml:space="preserve">What it tests</t>
  </si>
  <si>
    <t xml:space="preserve">SC-01</t>
  </si>
  <si>
    <t xml:space="preserve">Big orders need finance sign-off before release.</t>
  </si>
  <si>
    <t xml:space="preserve">THR-03, WF-02/S3</t>
  </si>
  <si>
    <t xml:space="preserve">Vague quantity</t>
  </si>
  <si>
    <t xml:space="preserve">Yes</t>
  </si>
  <si>
    <t xml:space="preserve">Above what order value should finance approval be required?</t>
  </si>
  <si>
    <t xml:space="preserve">INR 5,00,000</t>
  </si>
  <si>
    <t xml:space="preserve">High</t>
  </si>
  <si>
    <t xml:space="preserve">Anything above 8 lakh.</t>
  </si>
  <si>
    <t xml:space="preserve">THR-03 = INR 8,00,000; S3 role = finance_approver</t>
  </si>
  <si>
    <t xml:space="preserve">Confirmed</t>
  </si>
  <si>
    <t xml:space="preserve">Vague amount resolved to a number</t>
  </si>
  <si>
    <t xml:space="preserve">SC-02</t>
  </si>
  <si>
    <t xml:space="preserve">Approvals should be quick.</t>
  </si>
  <si>
    <t xml:space="preserve">What is the maximum time an approval may take?</t>
  </si>
  <si>
    <t xml:space="preserve">4 business hours</t>
  </si>
  <si>
    <t xml:space="preserve">Same day, ideally within 3 hours.</t>
  </si>
  <si>
    <t xml:space="preserve">THR-05 = 3 business hours</t>
  </si>
  <si>
    <t xml:space="preserve">Extracts the concrete value from a partly vague answer</t>
  </si>
  <si>
    <t xml:space="preserve">SC-03</t>
  </si>
  <si>
    <t xml:space="preserve">Orders should go to the nearest warehouse.</t>
  </si>
  <si>
    <t xml:space="preserve">Missing exception path</t>
  </si>
  <si>
    <t xml:space="preserve">If the nearest warehouse is out of stock, should the order go to the next-nearest warehouse, wait for stock, or be split?</t>
  </si>
  <si>
    <t xml:space="preserve">No fallback (must set)</t>
  </si>
  <si>
    <t xml:space="preserve">Send it to the Jaipur hub as backup.</t>
  </si>
  <si>
    <t xml:space="preserve">RULE-22 fallback = WH-Jaipur</t>
  </si>
  <si>
    <t xml:space="preserve">Detects a missing exception path</t>
  </si>
  <si>
    <t xml:space="preserve">SC-04</t>
  </si>
  <si>
    <t xml:space="preserve">Orders come from our ERP; accounts are in a separate package.</t>
  </si>
  <si>
    <t xml:space="preserve">Missing integration detail</t>
  </si>
  <si>
    <t xml:space="preserve">Which ERP version do you run, and which fields hold the order value and buyer code?</t>
  </si>
  <si>
    <t xml:space="preserve">API v3 standard mapping</t>
  </si>
  <si>
    <t xml:space="preserve">Version 10; order value in 'ord_total', buyer code in 'cust_code'.</t>
  </si>
  <si>
    <t xml:space="preserve">INT-01 mapping ord_total -&gt; order.value, cust_code -&gt; buyer_code</t>
  </si>
  <si>
    <t xml:space="preserve">Integration detail needed for C3</t>
  </si>
  <si>
    <t xml:space="preserve">SC-05</t>
  </si>
  <si>
    <t xml:space="preserve">Dispatch within 2 days.</t>
  </si>
  <si>
    <t xml:space="preserve">THR-09, ADM-01</t>
  </si>
  <si>
    <t xml:space="preserve">Is that 48 clock hours or 2 working days? Which days are non-working?</t>
  </si>
  <si>
    <t xml:space="preserve">24 business hours, Mon-Sat</t>
  </si>
  <si>
    <t xml:space="preserve">2 working days, Sundays off.</t>
  </si>
  <si>
    <t xml:space="preserve">THR-09 = 48 business hours; ADM-01 = Mon-Sat</t>
  </si>
  <si>
    <t xml:space="preserve">Unit and calendar ambiguity</t>
  </si>
  <si>
    <t xml:space="preserve">SC-06</t>
  </si>
  <si>
    <t xml:space="preserve">Escalate delayed orders to the ops head.</t>
  </si>
  <si>
    <t xml:space="preserve">RULE-31, THR-10</t>
  </si>
  <si>
    <t xml:space="preserve">How many hours past the dispatch deadline counts as delayed?</t>
  </si>
  <si>
    <t xml:space="preserve">6 hours</t>
  </si>
  <si>
    <t xml:space="preserve">The default is fine.</t>
  </si>
  <si>
    <t xml:space="preserve">THR-10 = 6 hours (template default confirmed); escalation role = ops_head</t>
  </si>
  <si>
    <t xml:space="preserve">Default offered and confirmed</t>
  </si>
  <si>
    <t xml:space="preserve">SC-07</t>
  </si>
  <si>
    <t xml:space="preserve">Heavy items go by freight.</t>
  </si>
  <si>
    <t xml:space="preserve">THR-11, RULE-32</t>
  </si>
  <si>
    <t xml:space="preserve">Above what weight should an order go by freight carrier?</t>
  </si>
  <si>
    <t xml:space="preserve">100 kg</t>
  </si>
  <si>
    <t xml:space="preserve">Anything over 40 kg, our planters are bulky.</t>
  </si>
  <si>
    <t xml:space="preserve">THR-11 = 40 kg</t>
  </si>
  <si>
    <t xml:space="preserve">Template default would be wrong for this customer</t>
  </si>
  <si>
    <t xml:space="preserve">SC-08</t>
  </si>
  <si>
    <t xml:space="preserve">(No mention of credit terms in notes.)</t>
  </si>
  <si>
    <t xml:space="preserve">THR-01, RULE-02</t>
  </si>
  <si>
    <t xml:space="preserve">Not mentioned</t>
  </si>
  <si>
    <t xml:space="preserve">Do you extend credit to any buyers? If not, we will switch off credit holds.</t>
  </si>
  <si>
    <t xml:space="preserve">Credit hold enabled, INR 10,00,000</t>
  </si>
  <si>
    <t xml:space="preserve">No, all orders are prepaid or COD.</t>
  </si>
  <si>
    <t xml:space="preserve">RULE-02 disabled</t>
  </si>
  <si>
    <t xml:space="preserve">Spots a template setting that does not apply</t>
  </si>
  <si>
    <t xml:space="preserve">SC-09</t>
  </si>
  <si>
    <t xml:space="preserve">Orders above INR 5 lakh need approval from the branch manager.</t>
  </si>
  <si>
    <t xml:space="preserve">None (clear)</t>
  </si>
  <si>
    <t xml:space="preserve">No</t>
  </si>
  <si>
    <t xml:space="preserve">(no question)</t>
  </si>
  <si>
    <t xml:space="preserve">THR-03 = INR 5,00,000; S3 role = branch_manager (new role)</t>
  </si>
  <si>
    <t xml:space="preserve">Control: must NOT be flagged</t>
  </si>
  <si>
    <t xml:space="preserve">SC-10</t>
  </si>
  <si>
    <t xml:space="preserve">All orders from key accounts are auto-approved.</t>
  </si>
  <si>
    <t xml:space="preserve">RULE-12 (+ SC-09)</t>
  </si>
  <si>
    <t xml:space="preserve">Contradiction</t>
  </si>
  <si>
    <t xml:space="preserve">Should key-account orders above INR 5 lakh skip branch manager approval, or does the INR 5 lakh rule still apply to them?</t>
  </si>
  <si>
    <t xml:space="preserve">Key accounts skip approval up to INR 15 lakh; above that, branch manager.</t>
  </si>
  <si>
    <t xml:space="preserve">New RULE-12a: key accounts exempt up to INR 15,00,000</t>
  </si>
  <si>
    <t xml:space="preserve">Contradiction across two notes</t>
  </si>
  <si>
    <t xml:space="preserve">SC-11</t>
  </si>
  <si>
    <t xml:space="preserve">We work with two courier partners and a freight partner.</t>
  </si>
  <si>
    <t xml:space="preserve">INT-03, RULE-32</t>
  </si>
  <si>
    <t xml:space="preserve">Which partner should get which orders (by weight, zone or cost), and do all three support booking through an API?</t>
  </si>
  <si>
    <t xml:space="preserve">Courier by zone, freight &gt; 100 kg</t>
  </si>
  <si>
    <t xml:space="preserve">Courier A for metros, Courier B elsewhere, freight above 60 kg. Freight partner has no API, bookings by email.</t>
  </si>
  <si>
    <t xml:space="preserve">RULE-32 by zone + THR-11 = 60 kg; WF-05/S2 manual booking for freight</t>
  </si>
  <si>
    <t xml:space="preserve">Reveals an integration capability gap</t>
  </si>
  <si>
    <t xml:space="preserve">SC-12</t>
  </si>
  <si>
    <t xml:space="preserve">Peak is around Diwali.</t>
  </si>
  <si>
    <t xml:space="preserve">Capacity envelope (M7-M10)</t>
  </si>
  <si>
    <t xml:space="preserve">Missing volume info</t>
  </si>
  <si>
    <t xml:space="preserve">What are your normal and peak daily order volumes, and which weeks are peak?</t>
  </si>
  <si>
    <t xml:space="preserve">Normal about 1,200 a day; around 3,500 a day for three weeks at Diwali.</t>
  </si>
  <si>
    <t xml:space="preserve">Peak multiplier 2.9x; peak calendar = Diwali 3 weeks</t>
  </si>
  <si>
    <t xml:space="preserve">Collects inputs for load benchmark (A14)</t>
  </si>
  <si>
    <t xml:space="preserve">SC-13</t>
  </si>
  <si>
    <t xml:space="preserve">Client orders come in from multiple client ERPs.</t>
  </si>
  <si>
    <t xml:space="preserve">INT-01 (x n)</t>
  </si>
  <si>
    <t xml:space="preserve">How many client systems send orders, and does each use the same format or need its own mapping?</t>
  </si>
  <si>
    <t xml:space="preserve">Single API source</t>
  </si>
  <si>
    <t xml:space="preserve">Four clients: two send CSV over SFTP, two use an API.</t>
  </si>
  <si>
    <t xml:space="preserve">INT-01 x 4; 2 via file transfer (needs platform eng. check)</t>
  </si>
  <si>
    <t xml:space="preserve">Confirmed - open dependency</t>
  </si>
  <si>
    <t xml:space="preserve">Surfaces a dependency outside the template</t>
  </si>
  <si>
    <t xml:space="preserve">SC-14</t>
  </si>
  <si>
    <t xml:space="preserve">Each client has its own SLA.</t>
  </si>
  <si>
    <t xml:space="preserve">THR-09 (per client)</t>
  </si>
  <si>
    <t xml:space="preserve">Please list the dispatch SLA for each client.</t>
  </si>
  <si>
    <t xml:space="preserve">24 business hours</t>
  </si>
  <si>
    <t xml:space="preserve">Client 1: 24h, Client 2: 24h, Client 3: 48h, Client 4: 72h.</t>
  </si>
  <si>
    <t xml:space="preserve">THR-09 per client = 24 / 24 / 48 / 72</t>
  </si>
  <si>
    <t xml:space="preserve">One requirement maps to several values</t>
  </si>
  <si>
    <t xml:space="preserve">SC-15</t>
  </si>
  <si>
    <t xml:space="preserve">Exceptions go to the warehouse team.</t>
  </si>
  <si>
    <t xml:space="preserve">WF-04/S2</t>
  </si>
  <si>
    <t xml:space="preserve">Missing owner</t>
  </si>
  <si>
    <t xml:space="preserve">Who exactly owns the exception queue: a named role at each warehouse, or one central planner?</t>
  </si>
  <si>
    <t xml:space="preserve">warehouse_planner</t>
  </si>
  <si>
    <t xml:space="preserve">The shift supervisor at each warehouse.</t>
  </si>
  <si>
    <t xml:space="preserve">WF-04/S2 role = shift_supervisor (per warehouse)</t>
  </si>
  <si>
    <t xml:space="preserve">Team named, owner role missing</t>
  </si>
  <si>
    <t xml:space="preserve">SC-16</t>
  </si>
  <si>
    <t xml:space="preserve">Same-day dispatch for all orders placed before 2 pm.</t>
  </si>
  <si>
    <t xml:space="preserve">THR-09, THR-13</t>
  </si>
  <si>
    <t xml:space="preserve">THR-13 = 14:00; THR-09 = same business day</t>
  </si>
  <si>
    <t xml:space="preserve">SC-17</t>
  </si>
  <si>
    <t xml:space="preserve">Returns should be handled smoothly.</t>
  </si>
  <si>
    <t xml:space="preserve">(none - out of scope)</t>
  </si>
  <si>
    <t xml:space="preserve">Out of scope</t>
  </si>
  <si>
    <t xml:space="preserve">Route to SE</t>
  </si>
  <si>
    <t xml:space="preserve">(no customer question; SE to clarify commercial scope)</t>
  </si>
  <si>
    <t xml:space="preserve">Logged as out of scope (returns not in modules)</t>
  </si>
  <si>
    <t xml:space="preserve">Must not invent settings</t>
  </si>
  <si>
    <t xml:space="preserve">SC-18</t>
  </si>
  <si>
    <t xml:space="preserve">Generate GST invoices on dispatch.</t>
  </si>
  <si>
    <t xml:space="preserve">(Accounts - in ERP)</t>
  </si>
  <si>
    <t xml:space="preserve">(no customer question; SE to confirm invoice is created in ERP from dispatch event)</t>
  </si>
  <si>
    <t xml:space="preserve">Out of scope; optional outbound dispatch event to ERP via integration</t>
  </si>
  <si>
    <t xml:space="preserve">Recognises Accounts is not a platform module</t>
  </si>
  <si>
    <t xml:space="preserve">SC-19</t>
  </si>
  <si>
    <t xml:space="preserve">Credit limit as per our existing policy.</t>
  </si>
  <si>
    <t xml:space="preserve">THR-01, RULE-02, WF-03</t>
  </si>
  <si>
    <t xml:space="preserve">Please share the credit policy: the limit for each buyer category and what happens when it is exceeded.</t>
  </si>
  <si>
    <t xml:space="preserve">INR 10,00,000 flat</t>
  </si>
  <si>
    <t xml:space="preserve">Category A INR 10L, B INR 5L, C INR 2L; if exceeded, hold for the credit controller.</t>
  </si>
  <si>
    <t xml:space="preserve">THR-01 tiered A/B/C = 10L / 5L / 2L; RULE-02 -&gt; WF-03 (credit_controller)</t>
  </si>
  <si>
    <t xml:space="preserve">Requirement points to an external document</t>
  </si>
  <si>
    <t xml:space="preserve">SC-20</t>
  </si>
  <si>
    <t xml:space="preserve">Approver: Mr. Rao.</t>
  </si>
  <si>
    <t xml:space="preserve">WF-02/S3, ADM-02</t>
  </si>
  <si>
    <t xml:space="preserve">Who approves when Mr. Rao is unavailable?</t>
  </si>
  <si>
    <t xml:space="preserve">Ms. Iyer is the backup.</t>
  </si>
  <si>
    <t xml:space="preserve">finance_approver role with 2 users (Rao, Iyer)</t>
  </si>
  <si>
    <t xml:space="preserve">Single-person dependency (links to H4)</t>
  </si>
  <si>
    <t xml:space="preserve">SC-21</t>
  </si>
  <si>
    <t xml:space="preserve">Dispatch SLA is 24 hours.</t>
  </si>
  <si>
    <t xml:space="preserve">THR-09 = 24 business hours</t>
  </si>
  <si>
    <t xml:space="preserve">SC-22</t>
  </si>
  <si>
    <t xml:space="preserve">Escalate if delayed beyond 4 hours.</t>
  </si>
  <si>
    <t xml:space="preserve">THR-10 = 4 hours</t>
  </si>
  <si>
    <t xml:space="preserve">SC-23</t>
  </si>
  <si>
    <t xml:space="preserve">Orders over INR 2 lakh need approval; orders over INR 1 lakh need approval from the finance head.</t>
  </si>
  <si>
    <t xml:space="preserve">THR-03, RULE-12, WF-02</t>
  </si>
  <si>
    <t xml:space="preserve">For orders above INR 2 lakh, is it one approval (finance head) or two levels? Who approves orders between 1 and 2 lakh?</t>
  </si>
  <si>
    <t xml:space="preserve">1-2 lakh: branch manager. Above 2 lakh: finance head.</t>
  </si>
  <si>
    <t xml:space="preserve">Two-tier approval: INR 1-2L branch_manager; &gt; INR 2L finance_head</t>
  </si>
  <si>
    <t xml:space="preserve">Overlapping, inverted thresholds</t>
  </si>
  <si>
    <t xml:space="preserve">SC-24</t>
  </si>
  <si>
    <t xml:space="preserve">Volumes go up in summer.</t>
  </si>
  <si>
    <t xml:space="preserve">Round 1: What are normal and peak daily volumes, and which months? -&gt; answer still vague -&gt; Round 2: Roughly how many orders a day in summer vs the rest of the year?</t>
  </si>
  <si>
    <t xml:space="preserve">Round 1: 'They go up a lot.' Round 2: 'About 700 normally, 1,400 in April-June.'</t>
  </si>
  <si>
    <t xml:space="preserve">Peak multiplier 2.0x; peak calendar = Apr-Jun</t>
  </si>
  <si>
    <t xml:space="preserve">Confirmed after round 2</t>
  </si>
  <si>
    <t xml:space="preserve">Must not accept a vague answer</t>
  </si>
  <si>
    <t xml:space="preserve">SC-25</t>
  </si>
  <si>
    <t xml:space="preserve">Integrate with our website orders.</t>
  </si>
  <si>
    <t xml:space="preserve">Which platform runs your website, and does it offer an order API or webhooks?</t>
  </si>
  <si>
    <t xml:space="preserve">API v3 pull</t>
  </si>
  <si>
    <t xml:space="preserve">A hosted store platform with webhooks.</t>
  </si>
  <si>
    <t xml:space="preserve">INT-01 webhook mode</t>
  </si>
  <si>
    <t xml:space="preserve">Order source is a web store, not an ERP</t>
  </si>
  <si>
    <t xml:space="preserve">SC-26</t>
  </si>
  <si>
    <t xml:space="preserve">Usual stuff for escalations.</t>
  </si>
  <si>
    <t xml:space="preserve">We will escalate to the dispatch lead 6 hours after the dispatch deadline. Is that right?</t>
  </si>
  <si>
    <t xml:space="preserve">Low</t>
  </si>
  <si>
    <t xml:space="preserve">Yes.</t>
  </si>
  <si>
    <t xml:space="preserve">THR-10 = 6 hours (default confirmed)</t>
  </si>
  <si>
    <t xml:space="preserve">Low-impact item handled as a quick confirm</t>
  </si>
  <si>
    <t xml:space="preserve">SC-27</t>
  </si>
  <si>
    <t xml:space="preserve">Prepaid orders ship first.</t>
  </si>
  <si>
    <t xml:space="preserve">New rule (not in template)</t>
  </si>
  <si>
    <t xml:space="preserve">Needs custom rule</t>
  </si>
  <si>
    <t xml:space="preserve">Should prepaid orders always be picked before COD orders, even when the COD order is older?</t>
  </si>
  <si>
    <t xml:space="preserve">Yes, except COD orders older than 24 hours go first.</t>
  </si>
  <si>
    <t xml:space="preserve">New RULE-23: prepaid priority with 24h ageing override</t>
  </si>
  <si>
    <t xml:space="preserve">Requirement not covered by the template</t>
  </si>
  <si>
    <t xml:space="preserve">SC-28</t>
  </si>
  <si>
    <t xml:space="preserve">We promise next-day delivery in metros.</t>
  </si>
  <si>
    <t xml:space="preserve">THR-09, RULE-32</t>
  </si>
  <si>
    <t xml:space="preserve">Next-day delivery needs early dispatch. Should metro orders have a shorter dispatch SLA and an express courier?</t>
  </si>
  <si>
    <t xml:space="preserve">24 business hours, standard courier</t>
  </si>
  <si>
    <t xml:space="preserve">Metro orders: dispatch within 6 hours, express courier.</t>
  </si>
  <si>
    <t xml:space="preserve">Zone-specific THR-09 = 6h (metro); RULE-32 metro -&gt; express courier</t>
  </si>
  <si>
    <t xml:space="preserve">Delivery promise implies dispatch settings</t>
  </si>
  <si>
    <t xml:space="preserve">MVP · Sales · rule-based configuration checks (A4a / A5)</t>
  </si>
  <si>
    <t xml:space="preserve">Hard errors block the handoff to UAT. Warnings never block; they are listed for delivery. Deterministic: expected accuracy is 100%.</t>
  </si>
  <si>
    <t xml:space="preserve">Configured value (draft)</t>
  </si>
  <si>
    <t xml:space="preserve">Signed-off / required</t>
  </si>
  <si>
    <t xml:space="preserve">Check (R)</t>
  </si>
  <si>
    <t xml:space="preserve">Expected result</t>
  </si>
  <si>
    <t xml:space="preserve">Blocks handoff?</t>
  </si>
  <si>
    <t xml:space="preserve">Why</t>
  </si>
  <si>
    <t xml:space="preserve">CC-01</t>
  </si>
  <si>
    <t xml:space="preserve">THR-03 approval_limit</t>
  </si>
  <si>
    <t xml:space="preserve">INR 5,00,000 (template default)</t>
  </si>
  <si>
    <t xml:space="preserve">INR 8,00,000 (SC-01)</t>
  </si>
  <si>
    <t xml:space="preserve">SIGNOFF_MISMATCH</t>
  </si>
  <si>
    <t xml:space="preserve">Error</t>
  </si>
  <si>
    <t xml:space="preserve">Value differs from signed-off requirement</t>
  </si>
  <si>
    <t xml:space="preserve">CC-02</t>
  </si>
  <si>
    <t xml:space="preserve">THR-05 approval_sla</t>
  </si>
  <si>
    <t xml:space="preserve">3 business hours</t>
  </si>
  <si>
    <t xml:space="preserve">3 business hours (SC-02)</t>
  </si>
  <si>
    <t xml:space="preserve">Matches sign-off</t>
  </si>
  <si>
    <t xml:space="preserve">CC-03</t>
  </si>
  <si>
    <t xml:space="preserve">RULE-22 stock_out_fallback</t>
  </si>
  <si>
    <t xml:space="preserve">(empty)</t>
  </si>
  <si>
    <t xml:space="preserve">WH-Jaipur (SC-03)</t>
  </si>
  <si>
    <t xml:space="preserve">REQUIRED_FIELD</t>
  </si>
  <si>
    <t xml:space="preserve">Required field missing</t>
  </si>
  <si>
    <t xml:space="preserve">CC-04</t>
  </si>
  <si>
    <t xml:space="preserve">INT-01 field mapping</t>
  </si>
  <si>
    <t xml:space="preserve">buyer_code not mapped</t>
  </si>
  <si>
    <t xml:space="preserve">cust_code -&gt; buyer_code (SC-04)</t>
  </si>
  <si>
    <t xml:space="preserve">REQUIRED_MAPPING</t>
  </si>
  <si>
    <t xml:space="preserve">Mandatory mapping missing; would fail C3</t>
  </si>
  <si>
    <t xml:space="preserve">CC-05</t>
  </si>
  <si>
    <t xml:space="preserve">THR-11 bulky_weight</t>
  </si>
  <si>
    <t xml:space="preserve">100 kg (template default)</t>
  </si>
  <si>
    <t xml:space="preserve">40 kg (SC-07)</t>
  </si>
  <si>
    <t xml:space="preserve">Template default left in place</t>
  </si>
  <si>
    <t xml:space="preserve">CC-06</t>
  </si>
  <si>
    <t xml:space="preserve">RULE-02 credit_hold</t>
  </si>
  <si>
    <t xml:space="preserve">disabled (SC-08)</t>
  </si>
  <si>
    <t xml:space="preserve">Rule should be off</t>
  </si>
  <si>
    <t xml:space="preserve">CC-07</t>
  </si>
  <si>
    <t xml:space="preserve">ADM-01 business_calendar</t>
  </si>
  <si>
    <t xml:space="preserve">Mon-Sun</t>
  </si>
  <si>
    <t xml:space="preserve">Mon-Sat (SC-05)</t>
  </si>
  <si>
    <t xml:space="preserve">Calendar changes the SLA clock</t>
  </si>
  <si>
    <t xml:space="preserve">CC-08</t>
  </si>
  <si>
    <t xml:space="preserve">RULE-12 vs RULE-12a</t>
  </si>
  <si>
    <t xml:space="preserve">Both match key-account orders INR 5-15L, same priority, different actions</t>
  </si>
  <si>
    <t xml:space="preserve">RULE-12a exempts key accounts (SC-10)</t>
  </si>
  <si>
    <t xml:space="preserve">RULE_CONFLICT</t>
  </si>
  <si>
    <t xml:space="preserve">Conflicting rules; would fail C2</t>
  </si>
  <si>
    <t xml:space="preserve">CC-09</t>
  </si>
  <si>
    <t xml:space="preserve">ADM-02 role branch_manager</t>
  </si>
  <si>
    <t xml:space="preserve">0 active users in sandbox</t>
  </si>
  <si>
    <t xml:space="preserve">role required (SC-09)</t>
  </si>
  <si>
    <t xml:space="preserve">ROLE_EMPTY</t>
  </si>
  <si>
    <t xml:space="preserve">Warning</t>
  </si>
  <si>
    <t xml:space="preserve">Users can be added before UAT; C4 will fail if not</t>
  </si>
  <si>
    <t xml:space="preserve">CC-10</t>
  </si>
  <si>
    <t xml:space="preserve">60 kg</t>
  </si>
  <si>
    <t xml:space="preserve">60 kg (SC-11)</t>
  </si>
  <si>
    <t xml:space="preserve">CC-11</t>
  </si>
  <si>
    <t xml:space="preserve">INT-01 (clients 1-2) endpoint</t>
  </si>
  <si>
    <t xml:space="preserve">API v2</t>
  </si>
  <si>
    <t xml:space="preserve">API (SC-13)</t>
  </si>
  <si>
    <t xml:space="preserve">DEPRECATED_VERSION</t>
  </si>
  <si>
    <t xml:space="preserve">v2 deprecated but supported; template is v3</t>
  </si>
  <si>
    <t xml:space="preserve">CC-12</t>
  </si>
  <si>
    <t xml:space="preserve">THR-09 client 4</t>
  </si>
  <si>
    <t xml:space="preserve">72 business hours</t>
  </si>
  <si>
    <t xml:space="preserve">72 (SC-14)</t>
  </si>
  <si>
    <t xml:space="preserve">CC-13</t>
  </si>
  <si>
    <t xml:space="preserve">THR-13 dispatch_cutoff_time</t>
  </si>
  <si>
    <t xml:space="preserve">16:00 (template default)</t>
  </si>
  <si>
    <t xml:space="preserve">14:00 (SC-16)</t>
  </si>
  <si>
    <t xml:space="preserve">CC-14</t>
  </si>
  <si>
    <t xml:space="preserve">THR-10 escalation_after_sla</t>
  </si>
  <si>
    <t xml:space="preserve">2 hours</t>
  </si>
  <si>
    <t xml:space="preserve">(no linked requirement)</t>
  </si>
  <si>
    <t xml:space="preserve">UNLINKED_CHANGE</t>
  </si>
  <si>
    <t xml:space="preserve">Changed from template with no requirement behind it; listed for delivery</t>
  </si>
  <si>
    <t xml:space="preserve">CC-15</t>
  </si>
  <si>
    <t xml:space="preserve">THR-01 credit_limit tiers</t>
  </si>
  <si>
    <t xml:space="preserve">A 10L / B 5L / C 2L</t>
  </si>
  <si>
    <t xml:space="preserve">A 10L / B 5L / C 2L (SC-19)</t>
  </si>
  <si>
    <t xml:space="preserve">CC-16</t>
  </si>
  <si>
    <t xml:space="preserve">WF-03/S2 role credit_controller</t>
  </si>
  <si>
    <t xml:space="preserve">1 active user</t>
  </si>
  <si>
    <t xml:space="preserve">role required (SC-19)</t>
  </si>
  <si>
    <t xml:space="preserve">Role filled</t>
  </si>
  <si>
    <t xml:space="preserve">CC-17</t>
  </si>
  <si>
    <t xml:space="preserve">RULE-12 two-tier approval</t>
  </si>
  <si>
    <t xml:space="preserve">&gt; INR 1L -&gt; finance_head</t>
  </si>
  <si>
    <t xml:space="preserve">1-2L branch_manager; &gt; 2L finance_head (SC-23)</t>
  </si>
  <si>
    <t xml:space="preserve">Tiers swapped</t>
  </si>
  <si>
    <t xml:space="preserve">CC-18</t>
  </si>
  <si>
    <t xml:space="preserve">WF-02/S3 SLA reference</t>
  </si>
  <si>
    <t xml:space="preserve">(null)</t>
  </si>
  <si>
    <t xml:space="preserve">every approval step needs an SLA</t>
  </si>
  <si>
    <t xml:space="preserve">CC-19</t>
  </si>
  <si>
    <t xml:space="preserve">INT-01 retry_policy</t>
  </si>
  <si>
    <t xml:space="preserve">0 retries</t>
  </si>
  <si>
    <t xml:space="preserve">template minimum 3</t>
  </si>
  <si>
    <t xml:space="preserve">BELOW_MINIMUM</t>
  </si>
  <si>
    <t xml:space="preserve">Will lose orders on brief outages</t>
  </si>
  <si>
    <t xml:space="preserve">CC-20</t>
  </si>
  <si>
    <t xml:space="preserve">RULE-23 prepaid priority</t>
  </si>
  <si>
    <t xml:space="preserve">Never reached: RULE-21 has stop-processing set</t>
  </si>
  <si>
    <t xml:space="preserve">RULE-23 must fire (SC-27)</t>
  </si>
  <si>
    <t xml:space="preserve">UNREACHABLE_RULE</t>
  </si>
  <si>
    <t xml:space="preserve">Rule can never fire; would fail C2</t>
  </si>
  <si>
    <t xml:space="preserve">MVP · UAT · Diagnosis &amp; Tuning Agent</t>
  </si>
  <si>
    <t xml:space="preserve">R narrows candidate settings via the dependency map · J ranks · L investigates events, tests fixes in the sandbox (A20), and proposes or escalates. Signed-off requirements are hard limits.</t>
  </si>
  <si>
    <t xml:space="preserve">Failing metric</t>
  </si>
  <si>
    <t xml:space="preserve">Observed</t>
  </si>
  <si>
    <t xml:space="preserve">Target</t>
  </si>
  <si>
    <t xml:space="preserve">Evidence pattern in events (input)</t>
  </si>
  <si>
    <t xml:space="preserve">Candidate settings (R)</t>
  </si>
  <si>
    <t xml:space="preserve">True root cause</t>
  </si>
  <si>
    <t xml:space="preserve">Cause class</t>
  </si>
  <si>
    <t xml:space="preserve">Expected agent action</t>
  </si>
  <si>
    <t xml:space="preserve">Expected sandbox effect</t>
  </si>
  <si>
    <t xml:space="preserve">Must NOT do</t>
  </si>
  <si>
    <t xml:space="preserve">UD-01</t>
  </si>
  <si>
    <t xml:space="preserve">M1 Approval cycle time</t>
  </si>
  <si>
    <t xml:space="preserve">7.2 h</t>
  </si>
  <si>
    <t xml:space="preserve">&lt;= 4 h</t>
  </si>
  <si>
    <t xml:space="preserve">62% of test orders hit approval; steel orders are mostly INR 3-6L; one finance_approver handles all of them</t>
  </si>
  <si>
    <t xml:space="preserve">THR-03, THR-05, WF-02/S3 users</t>
  </si>
  <si>
    <t xml:space="preserve">Signed-off approval_limit (INR 2L) sends most orders to one approver</t>
  </si>
  <si>
    <t xml:space="preserve">Requirement conflicts with target</t>
  </si>
  <si>
    <t xml:space="preserve">Escalate options to customer via delivery: (a) raise limit to INR 5L, (b) add a second approver</t>
  </si>
  <si>
    <t xml:space="preserve">(a) approvals 18% of orders, M1 3.1 h; (b) M1 3.8 h</t>
  </si>
  <si>
    <t xml:space="preserve">Change approval_limit without customer decision</t>
  </si>
  <si>
    <t xml:space="preserve">UD-02</t>
  </si>
  <si>
    <t xml:space="preserve">M2 Auto-routing accuracy</t>
  </si>
  <si>
    <t xml:space="preserve">88%</t>
  </si>
  <si>
    <t xml:space="preserve">80% of manual reassignments are pincodes 208xxx moved from WH-1 to WH-2</t>
  </si>
  <si>
    <t xml:space="preserve">RULE-21 (state rule, pincode rule), INT-02</t>
  </si>
  <si>
    <t xml:space="preserve">General state rule has higher priority than the specific pincode rule</t>
  </si>
  <si>
    <t xml:space="preserve">Configuration error</t>
  </si>
  <si>
    <t xml:space="preserve">Propose priority swap (specific before general)</t>
  </si>
  <si>
    <t xml:space="preserve">M2 97%, M3 3.1%, no other metric worse</t>
  </si>
  <si>
    <t xml:space="preserve">UD-03</t>
  </si>
  <si>
    <t xml:space="preserve">M4 On-time dispatch</t>
  </si>
  <si>
    <t xml:space="preserve">Late orders are almost all &gt; 40 kg; freight carrier collects twice a week; sign-off says 24h dispatch for all orders</t>
  </si>
  <si>
    <t xml:space="preserve">THR-09, THR-11, RULE-32, WF-05</t>
  </si>
  <si>
    <t xml:space="preserve">Signed-off 24h SLA cannot be met for bulky items with current freight collection</t>
  </si>
  <si>
    <t xml:space="preserve">Draft options for customer: (a) 72h SLA for bulky, (b) daily freight collection, (c) separate M4 target for bulky</t>
  </si>
  <si>
    <t xml:space="preserve">(a) M4 97%; (b) depends on carrier contract; (c) M4 standard 98%</t>
  </si>
  <si>
    <t xml:space="preserve">Silently change the SLA</t>
  </si>
  <si>
    <t xml:space="preserve">UD-04</t>
  </si>
  <si>
    <t xml:space="preserve">M6 Integration sync success</t>
  </si>
  <si>
    <t xml:space="preserve">96.5%</t>
  </si>
  <si>
    <t xml:space="preserve">&gt;= 99%</t>
  </si>
  <si>
    <t xml:space="preserve">Failures cluster 02:00-03:00 daily; carrier returns maintenance errors; retries 3 x 1 min</t>
  </si>
  <si>
    <t xml:space="preserve">INT-03 retry policy, INT-03 sync frequency</t>
  </si>
  <si>
    <t xml:space="preserve">Retry window too short for the carrier's nightly maintenance</t>
  </si>
  <si>
    <t xml:space="preserve">Propose back-off retries up to 90 min and queue bookings in the window</t>
  </si>
  <si>
    <t xml:space="preserve">M6 99.6%</t>
  </si>
  <si>
    <t xml:space="preserve">UD-05</t>
  </si>
  <si>
    <t xml:space="preserve">M3 Manual override rate</t>
  </si>
  <si>
    <t xml:space="preserve">9%</t>
  </si>
  <si>
    <t xml:space="preserve">Overrides are users changing the carrier for Northeast pincodes; Courier A returns 'not serviceable'</t>
  </si>
  <si>
    <t xml:space="preserve">RULE-32 zone map, INT-03</t>
  </si>
  <si>
    <t xml:space="preserve">Carrier zone map sends Northeast orders to a courier that does not serve them</t>
  </si>
  <si>
    <t xml:space="preserve">Propose Northeast zone -&gt; Courier B</t>
  </si>
  <si>
    <t xml:space="preserve">M3 4.2%, M4 +1.5 pts</t>
  </si>
  <si>
    <t xml:space="preserve">UD-06</t>
  </si>
  <si>
    <t xml:space="preserve">M5 Escalation rate</t>
  </si>
  <si>
    <t xml:space="preserve">7%</t>
  </si>
  <si>
    <t xml:space="preserve">Escalations fire mainly for orders created after 16:00; escalation threshold is 2h</t>
  </si>
  <si>
    <t xml:space="preserve">RULE-31, THR-10, THR-13</t>
  </si>
  <si>
    <t xml:space="preserve">Two causes: RULE-31 starts the clock at order creation, not the next business slot (primary); THR-10 = 2h with no linked requirement (secondary)</t>
  </si>
  <si>
    <t xml:space="preserve">Configuration error (two causes)</t>
  </si>
  <si>
    <t xml:space="preserve">Propose RULE-31 fix; ask SE whether 2h was a customer request before changing THR-10</t>
  </si>
  <si>
    <t xml:space="preserve">RULE-31 fix: 3.6%; plus THR-10 = 6h: 2.1%</t>
  </si>
  <si>
    <t xml:space="preserve">Change THR-10 without checking its origin</t>
  </si>
  <si>
    <t xml:space="preserve">UD-07</t>
  </si>
  <si>
    <t xml:space="preserve">M9 Integration load</t>
  </si>
  <si>
    <t xml:space="preserve">412 rate-limit errors at peak test</t>
  </si>
  <si>
    <t xml:space="preserve">Carrier booking is called once per order; peak test reaches ~1,900 calls/hr vs limit 600</t>
  </si>
  <si>
    <t xml:space="preserve">INT-03 booking mode, INT-03 sync frequency</t>
  </si>
  <si>
    <t xml:space="preserve">Per-order booking calls exceed the carrier's rate limit at peak</t>
  </si>
  <si>
    <t xml:space="preserve">Propose batched booking every 5 min</t>
  </si>
  <si>
    <t xml:space="preserve">Zero rate-limit errors at 3x peak</t>
  </si>
  <si>
    <t xml:space="preserve">UD-08</t>
  </si>
  <si>
    <t xml:space="preserve">M10 Workflow capacity</t>
  </si>
  <si>
    <t xml:space="preserve">Exception queue 4x planner capacity at peak</t>
  </si>
  <si>
    <t xml:space="preserve">Within SLA</t>
  </si>
  <si>
    <t xml:space="preserve">70% of exceptions are allocation timeouts; warehouse system p95 response rises to 40 min at peak</t>
  </si>
  <si>
    <t xml:space="preserve">THR-07, WF-04/S2 users, INT-02</t>
  </si>
  <si>
    <t xml:space="preserve">Allocation timeout (30 min) too short at peak, pushing orders into the exception queue</t>
  </si>
  <si>
    <t xml:space="preserve">Configuration error (capacity)</t>
  </si>
  <si>
    <t xml:space="preserve">Propose THR-07 = 60 min; flag planner capacity to delivery</t>
  </si>
  <si>
    <t xml:space="preserve">Exceptions -65% at peak; queue within SLA</t>
  </si>
  <si>
    <t xml:space="preserve">UD-09</t>
  </si>
  <si>
    <t xml:space="preserve">11 h</t>
  </si>
  <si>
    <t xml:space="preserve">All test approvals were raised in one batch on Friday 18:00; business calendar excludes Sunday</t>
  </si>
  <si>
    <t xml:space="preserve">THR-03, THR-05, ADM-01</t>
  </si>
  <si>
    <t xml:space="preserve">Test data artefact: unrealistic timestamps, not a configuration problem</t>
  </si>
  <si>
    <t xml:space="preserve">Test data issue</t>
  </si>
  <si>
    <t xml:space="preserve">Flag test data; recommend re-run with realistic timestamps; no configuration change</t>
  </si>
  <si>
    <t xml:space="preserve">(none)</t>
  </si>
  <si>
    <t xml:space="preserve">Propose any configuration change</t>
  </si>
  <si>
    <t xml:space="preserve">UD-10</t>
  </si>
  <si>
    <t xml:space="preserve">C3 Integration data accuracy</t>
  </si>
  <si>
    <t xml:space="preserve">96% match on sample</t>
  </si>
  <si>
    <t xml:space="preserve">Mismatched orders differ by exactly the tax amount</t>
  </si>
  <si>
    <t xml:space="preserve">Mapping uses the tax-inclusive total; Vertex Ops expects the pre-tax value</t>
  </si>
  <si>
    <t xml:space="preserve">Propose mapping net_total -&gt; order.value</t>
  </si>
  <si>
    <t xml:space="preserve">100% match on sample</t>
  </si>
  <si>
    <t xml:space="preserve">UD-11</t>
  </si>
  <si>
    <t xml:space="preserve">C4 Role completeness</t>
  </si>
  <si>
    <t xml:space="preserve">credit_controller has 0 users</t>
  </si>
  <si>
    <t xml:space="preserve">Rule check already identifies the empty role</t>
  </si>
  <si>
    <t xml:space="preserve">Admin setup incomplete</t>
  </si>
  <si>
    <t xml:space="preserve">Rule-only (no AI needed)</t>
  </si>
  <si>
    <t xml:space="preserve">Rule routes to delivery to add a user; agent is not invoked</t>
  </si>
  <si>
    <t xml:space="preserve">(n/a)</t>
  </si>
  <si>
    <t xml:space="preserve">Invoke AI diagnosis</t>
  </si>
  <si>
    <t xml:space="preserve">UD-12</t>
  </si>
  <si>
    <t xml:space="preserve">93% (was 97% before last change)</t>
  </si>
  <si>
    <t xml:space="preserve">Drop started right after UD-07 fix; late orders are those booked in the last 5 min before cutoff</t>
  </si>
  <si>
    <t xml:space="preserve">INT-03 batch interval (recent change), THR-13</t>
  </si>
  <si>
    <t xml:space="preserve">Regression from the batching change: bookings for late orders miss the cutoff</t>
  </si>
  <si>
    <t xml:space="preserve">Propose batch interval 2 min (stays under 600 calls/hr)</t>
  </si>
  <si>
    <t xml:space="preserve">M4 97%, M9 still zero errors</t>
  </si>
  <si>
    <t xml:space="preserve">MVP · Production · rule-based safety net</t>
  </si>
  <si>
    <t xml:space="preserve">Only hard failures (H1, H3, H4) with no ambiguity. Tickets created in the existing support tool; duplicates merged; unacknowledged P1s re-escalate after 1 hour.</t>
  </si>
  <si>
    <t xml:space="preserve">Signal observed (input)</t>
  </si>
  <si>
    <t xml:space="preserve">Expected alert?</t>
  </si>
  <si>
    <t xml:space="preserve">PS-01</t>
  </si>
  <si>
    <t xml:space="preserve">Carrier sync success 91% over the last hour</t>
  </si>
  <si>
    <t xml:space="preserve">Below 95%</t>
  </si>
  <si>
    <t xml:space="preserve">PS-02</t>
  </si>
  <si>
    <t xml:space="preserve">Carrier sync success 96% over the last hour</t>
  </si>
  <si>
    <t xml:space="preserve">Near miss: above 95%</t>
  </si>
  <si>
    <t xml:space="preserve">PS-03</t>
  </si>
  <si>
    <t xml:space="preserve">ERP authentication errors for 20 min (expired credential)</t>
  </si>
  <si>
    <t xml:space="preserve">CSM -&gt; customer IT</t>
  </si>
  <si>
    <t xml:space="preserve">Customer-side cause</t>
  </si>
  <si>
    <t xml:space="preserve">PS-04</t>
  </si>
  <si>
    <t xml:space="preserve">14 orders in approval step for 9 h (SLA 4 h)</t>
  </si>
  <si>
    <t xml:space="preserve">More than 2x SLA</t>
  </si>
  <si>
    <t xml:space="preserve">PS-05</t>
  </si>
  <si>
    <t xml:space="preserve">Orders in dispatch step for 40 h (SLA 24 h)</t>
  </si>
  <si>
    <t xml:space="preserve">Near miss: 1.7x SLA</t>
  </si>
  <si>
    <t xml:space="preserve">PS-06</t>
  </si>
  <si>
    <t xml:space="preserve">Only finance_approver user deactivated</t>
  </si>
  <si>
    <t xml:space="preserve">Role has no active user</t>
  </si>
  <si>
    <t xml:space="preserve">PS-07</t>
  </si>
  <si>
    <t xml:space="preserve">Approver on leave but account still active</t>
  </si>
  <si>
    <t xml:space="preserve">Known limitation: leave not visible to the rule</t>
  </si>
  <si>
    <t xml:space="preserve">PS-08</t>
  </si>
  <si>
    <t xml:space="preserve">Sync fails for 20 min then recovers; 1-hour success 97%</t>
  </si>
  <si>
    <t xml:space="preserve">Window-based rule avoids noise</t>
  </si>
  <si>
    <t xml:space="preserve">PS-09</t>
  </si>
  <si>
    <t xml:space="preserve">H1 P1 ticket unacknowledged for 1 hour</t>
  </si>
  <si>
    <t xml:space="preserve">Escalation</t>
  </si>
  <si>
    <t xml:space="preserve">Yes (re-escalate)</t>
  </si>
  <si>
    <t xml:space="preserve">Platform eng. lead</t>
  </si>
  <si>
    <t xml:space="preserve">Response time passed</t>
  </si>
  <si>
    <t xml:space="preserve">PS-10</t>
  </si>
  <si>
    <t xml:space="preserve">H3 condition true on 3 steps of the same account</t>
  </si>
  <si>
    <t xml:space="preserve">H3 (dedupe)</t>
  </si>
  <si>
    <t xml:space="preserve">Yes (1 ticket)</t>
  </si>
  <si>
    <t xml:space="preserve">One ticket per issue per account</t>
  </si>
  <si>
    <t xml:space="preserve">V2 · Production · Level 2 fit monitoring</t>
  </si>
  <si>
    <t xml:space="preserve">R compares weekly values with the go-live baseline (peak calendar excluded) · J decides real drift vs noise · L investigates and drafts a fix · CSM approves.</t>
  </si>
  <si>
    <t xml:space="preserve">Go-live baseline</t>
  </si>
  <si>
    <t xml:space="preserve">W1</t>
  </si>
  <si>
    <t xml:space="preserve">W2</t>
  </si>
  <si>
    <t xml:space="preserve">W3</t>
  </si>
  <si>
    <t xml:space="preserve">W4</t>
  </si>
  <si>
    <t xml:space="preserve">W5</t>
  </si>
  <si>
    <t xml:space="preserve">W6</t>
  </si>
  <si>
    <t xml:space="preserve">W7</t>
  </si>
  <si>
    <t xml:space="preserve">W8</t>
  </si>
  <si>
    <t xml:space="preserve">Change W8 vs baseline</t>
  </si>
  <si>
    <t xml:space="preserve">Context (input)</t>
  </si>
  <si>
    <t xml:space="preserve">Expected classification</t>
  </si>
  <si>
    <t xml:space="preserve">Cause</t>
  </si>
  <si>
    <t xml:space="preserve">Expected action</t>
  </si>
  <si>
    <t xml:space="preserve">PD-01</t>
  </si>
  <si>
    <t xml:space="preserve">Order volume doubled; RULE-12 fires on 40% of orders (was 12%)</t>
  </si>
  <si>
    <t xml:space="preserve">Real drift</t>
  </si>
  <si>
    <t xml:space="preserve">approval_limit no longer fits volume</t>
  </si>
  <si>
    <t xml:space="preserve">Propose THR-03 INR 5L -&gt; 8L; expected approvals -30%</t>
  </si>
  <si>
    <t xml:space="preserve">PD-02</t>
  </si>
  <si>
    <t xml:space="preserve">%</t>
  </si>
  <si>
    <t xml:space="preserve">Weeks 4-6 fall in the Diwali window in the peak calendar</t>
  </si>
  <si>
    <t xml:space="preserve">Noise (known peak)</t>
  </si>
  <si>
    <t xml:space="preserve">Seasonal surge</t>
  </si>
  <si>
    <t xml:space="preserve">No drift alert; note for next year's peak-mode plan</t>
  </si>
  <si>
    <t xml:space="preserve">PD-03</t>
  </si>
  <si>
    <t xml:space="preserve">New warehouse WH-4 (Nagpur) appears in manual reassignments from week 4</t>
  </si>
  <si>
    <t xml:space="preserve">Routing rules do not include the new warehouse</t>
  </si>
  <si>
    <t xml:space="preserve">Propose RULE-21 regions for WH-4</t>
  </si>
  <si>
    <t xml:space="preserve">PD-04</t>
  </si>
  <si>
    <t xml:space="preserve">Step change after carrier API version notice; H1 never fires (stays above 95%)</t>
  </si>
  <si>
    <t xml:space="preserve">Carrier endpoint version outdated</t>
  </si>
  <si>
    <t xml:space="preserve">Propose INT-03 endpoint update</t>
  </si>
  <si>
    <t xml:space="preserve">PD-05</t>
  </si>
  <si>
    <t xml:space="preserve">Overrides concentrated on a new bulky sofa category</t>
  </si>
  <si>
    <t xml:space="preserve">Real drift (gradual)</t>
  </si>
  <si>
    <t xml:space="preserve">Carrier and SLA rules do not fit the new category</t>
  </si>
  <si>
    <t xml:space="preserve">Propose category-specific THR-11 / RULE-32</t>
  </si>
  <si>
    <t xml:space="preserve">PD-06</t>
  </si>
  <si>
    <t xml:space="preserve">M8 Order throughput</t>
  </si>
  <si>
    <t xml:space="preserve">x tested envelope</t>
  </si>
  <si>
    <t xml:space="preserve">Above the tested envelope for 16 days, outside any known peak</t>
  </si>
  <si>
    <t xml:space="preserve">Sustained growth</t>
  </si>
  <si>
    <t xml:space="preserve">Business has grown</t>
  </si>
  <si>
    <t xml:space="preserve">Re-benchmark + Level 2 review of volume-linked settings; update baseline with approval</t>
  </si>
  <si>
    <t xml:space="preserve">PD-07</t>
  </si>
  <si>
    <t xml:space="preserve">Single-day spike to 12 h on month-end, weekly median unaffected</t>
  </si>
  <si>
    <t xml:space="preserve">Noise (month-end)</t>
  </si>
  <si>
    <t xml:space="preserve">Month-end batch</t>
  </si>
  <si>
    <t xml:space="preserve">No action</t>
  </si>
  <si>
    <t xml:space="preserve">PD-08</t>
  </si>
  <si>
    <t xml:space="preserve">dispatch_lead role reassigned to one person covering two warehouses from week 5</t>
  </si>
  <si>
    <t xml:space="preserve">Workflow capacity: one dispatch lead for two sites</t>
  </si>
  <si>
    <t xml:space="preserve">Propose adding a dispatch_lead user per warehouse</t>
  </si>
  <si>
    <t xml:space="preserve">How each sheet is scored: proposed launch gates</t>
  </si>
  <si>
    <t xml:space="preserve">Gates are our proposal for go/no-go before each phase; they are re-run on every prompt or model change (regression evaluation).</t>
  </si>
  <si>
    <t xml:space="preserve">Sheet</t>
  </si>
  <si>
    <t xml:space="preserve">Layer</t>
  </si>
  <si>
    <t xml:space="preserve">Measure</t>
  </si>
  <si>
    <t xml:space="preserve">How it is scored</t>
  </si>
  <si>
    <t xml:space="preserve">Proposed gate</t>
  </si>
  <si>
    <t xml:space="preserve">Gate applies at</t>
  </si>
  <si>
    <t xml:space="preserve">S1 Clarification</t>
  </si>
  <si>
    <t xml:space="preserve">L</t>
  </si>
  <si>
    <t xml:space="preserve">Ambiguity recall</t>
  </si>
  <si>
    <t xml:space="preserve">Flagged cases / cases that should be flagged</t>
  </si>
  <si>
    <t xml:space="preserve">&gt;= 90%</t>
  </si>
  <si>
    <t xml:space="preserve">MVP launch</t>
  </si>
  <si>
    <t xml:space="preserve">False flags on controls</t>
  </si>
  <si>
    <t xml:space="preserve">Controls flagged / all controls</t>
  </si>
  <si>
    <t xml:space="preserve">&lt;= 10%</t>
  </si>
  <si>
    <t xml:space="preserve">Question quality</t>
  </si>
  <si>
    <t xml:space="preserve">Rubric 1-5: specific, linked to a setting, offers default, one gap per question</t>
  </si>
  <si>
    <t xml:space="preserve">Average &gt;= 4</t>
  </si>
  <si>
    <t xml:space="preserve">Invented requirements</t>
  </si>
  <si>
    <t xml:space="preserve">Requirements without a source quote or customer answer</t>
  </si>
  <si>
    <t xml:space="preserve">Zero (hard gate)</t>
  </si>
  <si>
    <t xml:space="preserve">Out-of-scope handling / vague answers</t>
  </si>
  <si>
    <t xml:space="preserve">Out-of-scope routed to SE; vague answers trigger another round</t>
  </si>
  <si>
    <t xml:space="preserve">S2 Config Checks</t>
  </si>
  <si>
    <t xml:space="preserve">R</t>
  </si>
  <si>
    <t xml:space="preserve">Rule accuracy</t>
  </si>
  <si>
    <t xml:space="preserve">Expected result matched (Error / Warning / Pass) and correct block decision</t>
  </si>
  <si>
    <t xml:space="preserve">100% (unit tests)</t>
  </si>
  <si>
    <t xml:space="preserve">U1 UAT Diagnosis</t>
  </si>
  <si>
    <t xml:space="preserve">R+J+L</t>
  </si>
  <si>
    <t xml:space="preserve">Root cause in top 3</t>
  </si>
  <si>
    <t xml:space="preserve">True root cause appears in the agent's top-3 hypotheses</t>
  </si>
  <si>
    <t xml:space="preserve">&gt;= 80%</t>
  </si>
  <si>
    <t xml:space="preserve">Cause class correct</t>
  </si>
  <si>
    <t xml:space="preserve">Config error vs requirement conflict vs test data vs regression</t>
  </si>
  <si>
    <t xml:space="preserve">&gt;= 85%</t>
  </si>
  <si>
    <t xml:space="preserve">Sign-off violations</t>
  </si>
  <si>
    <t xml:space="preserve">Proposals that break a signed-off requirement</t>
  </si>
  <si>
    <t xml:space="preserve">Correct 'no change'</t>
  </si>
  <si>
    <t xml:space="preserve">Test-data and rule-only cases receive no configuration proposal</t>
  </si>
  <si>
    <t xml:space="preserve">Sandbox prediction accuracy</t>
  </si>
  <si>
    <t xml:space="preserve">Predicted vs actual metric on UAT re-run</t>
  </si>
  <si>
    <t xml:space="preserve">Within +/- 2 pts</t>
  </si>
  <si>
    <t xml:space="preserve">Tracked from MVP</t>
  </si>
  <si>
    <t xml:space="preserve">J</t>
  </si>
  <si>
    <t xml:space="preserve">Fast-decision-layer agreement</t>
  </si>
  <si>
    <t xml:space="preserve">Jev ranking vs LLM ranking vs answer key (shadow mode)</t>
  </si>
  <si>
    <t xml:space="preserve">Matches LLM top-3 &gt;= 80%</t>
  </si>
  <si>
    <t xml:space="preserve">Before Jev goes live</t>
  </si>
  <si>
    <t xml:space="preserve">P1 Safety Net</t>
  </si>
  <si>
    <t xml:space="preserve">Alert accuracy and routing</t>
  </si>
  <si>
    <t xml:space="preserve">Expected alerts raised, near misses silent, correct owner, dedupe works</t>
  </si>
  <si>
    <t xml:space="preserve">P2 Drift</t>
  </si>
  <si>
    <t xml:space="preserve">R+J</t>
  </si>
  <si>
    <t xml:space="preserve">Real drift recall</t>
  </si>
  <si>
    <t xml:space="preserve">Real drift cases flagged</t>
  </si>
  <si>
    <t xml:space="preserve">V2 launch</t>
  </si>
  <si>
    <t xml:space="preserve">False alarms on noise</t>
  </si>
  <si>
    <t xml:space="preserve">Noise / sustained-growth cases raised as drift</t>
  </si>
  <si>
    <t xml:space="preserve">Calibration</t>
  </si>
  <si>
    <t xml:space="preserve">Confidence vs observed accuracy across cases</t>
  </si>
  <si>
    <t xml:space="preserve">Tracked in shadow mode</t>
  </si>
  <si>
    <t xml:space="preserve">All agent sheets</t>
  </si>
  <si>
    <t xml:space="preserve">H</t>
  </si>
  <si>
    <t xml:space="preserve">Human acceptance (post-launch)</t>
  </si>
  <si>
    <t xml:space="preserve">Accepted / edited / rejected proposals; rejections become new golden cases</t>
  </si>
  <si>
    <t xml:space="preserve">Monitored</t>
  </si>
  <si>
    <t xml:space="preserve">After launch</t>
  </si>
  <si>
    <t xml:space="preserve">Assumption register</t>
  </si>
  <si>
    <t xml:space="preserve">Referenced by number throughout the submission.</t>
  </si>
  <si>
    <t xml:space="preserve">#</t>
  </si>
  <si>
    <t xml:space="preserve">Area</t>
  </si>
  <si>
    <t xml:space="preserve">A0</t>
  </si>
  <si>
    <t xml:space="preserve">Domain</t>
  </si>
  <si>
    <t xml:space="preserve">Vertex Ops serves mid-market Indian companies running order-to-delivery operations (distributors, D2C brands, 3PLs). Base schema, Copilot design and governance are domain-neutral; only the template, metric library and examples are logistics-specific.</t>
  </si>
  <si>
    <t xml:space="preserve">A1</t>
  </si>
  <si>
    <t xml:space="preserve">Schema</t>
  </si>
  <si>
    <t xml:space="preserve">Separate sandbox, UAT and production environments exist.</t>
  </si>
  <si>
    <t xml:space="preserve">A2</t>
  </si>
  <si>
    <t xml:space="preserve">Configurations are versioned, but the reason for each change is not recorded.</t>
  </si>
  <si>
    <t xml:space="preserve">A3</t>
  </si>
  <si>
    <t xml:space="preserve">Execution events (rule fired, step completed, integration sync, manual override) are logged and available through an API.</t>
  </si>
  <si>
    <t xml:space="preserve">A4</t>
  </si>
  <si>
    <t xml:space="preserve">Metric definitions live in the UAT tool, not the configuration engine.</t>
  </si>
  <si>
    <t xml:space="preserve">A5</t>
  </si>
  <si>
    <t xml:space="preserve">Constraint</t>
  </si>
  <si>
    <t xml:space="preserve">The Copilot reads configurations and proposes changes; live changes go through existing approvals.</t>
  </si>
  <si>
    <t xml:space="preserve">A6</t>
  </si>
  <si>
    <t xml:space="preserve">As-is gap</t>
  </si>
  <si>
    <t xml:space="preserve">Configuration starts after the deal is signed.</t>
  </si>
  <si>
    <t xml:space="preserve">A7</t>
  </si>
  <si>
    <t xml:space="preserve">Handoff notes are written by sales and the SE together.</t>
  </si>
  <si>
    <t xml:space="preserve">A8</t>
  </si>
  <si>
    <t xml:space="preserve">Production changes are approved by platform engineering through the existing change-approval process.</t>
  </si>
  <si>
    <t xml:space="preserve">A9</t>
  </si>
  <si>
    <t xml:space="preserve">Production issues are investigated by delivery's configuration specialists after CS escalates.</t>
  </si>
  <si>
    <t xml:space="preserve">A10</t>
  </si>
  <si>
    <t xml:space="preserve">Go-live metric targets are not carried into production today.</t>
  </si>
  <si>
    <t xml:space="preserve">A11</t>
  </si>
  <si>
    <t xml:space="preserve">There is no feedback from UAT or production back to SEs today.</t>
  </si>
  <si>
    <t xml:space="preserve">A12</t>
  </si>
  <si>
    <t xml:space="preserve">Scale</t>
  </si>
  <si>
    <t xml:space="preserve">Infrastructure scaling belongs to platform engineering; the Copilot monitors and escalates.</t>
  </si>
  <si>
    <t xml:space="preserve">A13</t>
  </si>
  <si>
    <t xml:space="preserve">Load tests can run in UAT or a representative performance environment.</t>
  </si>
  <si>
    <t xml:space="preserve">A14</t>
  </si>
  <si>
    <t xml:space="preserve">Customers provide expected normal and peak volumes and a peak calendar during sales/UAT.</t>
  </si>
  <si>
    <t xml:space="preserve">A15</t>
  </si>
  <si>
    <t xml:space="preserve">ERP, warehouse and carrier APIs have known rate limits.</t>
  </si>
  <si>
    <t xml:space="preserve">A16</t>
  </si>
  <si>
    <t xml:space="preserve">Users</t>
  </si>
  <si>
    <t xml:space="preserve">The Vertex Ops platform is used only by clients' internal staff; outside parties connect only through integrations.</t>
  </si>
  <si>
    <t xml:space="preserve">A17</t>
  </si>
  <si>
    <t xml:space="preserve">The Copilot is used only by Vertex Ops teams; clients never get access.</t>
  </si>
  <si>
    <t xml:space="preserve">A18</t>
  </si>
  <si>
    <t xml:space="preserve">Data</t>
  </si>
  <si>
    <t xml:space="preserve">Order data may contain end-consumer personal data; the Copilot uses only configuration, aggregated metrics and event metadata, never consumer personal data, with AI models.</t>
  </si>
  <si>
    <t xml:space="preserve">A19</t>
  </si>
  <si>
    <t xml:space="preserve">The Vertex Ops platform is multi-tenant; cross-client effects are a platform engineering concern.</t>
  </si>
  <si>
    <t xml:space="preserve">A20</t>
  </si>
  <si>
    <t xml:space="preserve">The engine can clone a configuration version into the sandbox and replay recorded UAT scenarios via API. Fallback: reasoned proposals, tested by delivery in UAT.</t>
  </si>
</sst>
</file>

<file path=xl/styles.xml><?xml version="1.0" encoding="utf-8"?>
<styleSheet xmlns="http://schemas.openxmlformats.org/spreadsheetml/2006/main">
  <numFmts count="14">
    <numFmt numFmtId="164" formatCode="General"/>
    <numFmt numFmtId="165" formatCode="General"/>
    <numFmt numFmtId="166" formatCode="#,##0"/>
    <numFmt numFmtId="167" formatCode="\₹#,##0"/>
    <numFmt numFmtId="168" formatCode="#,##0.0"/>
    <numFmt numFmtId="169" formatCode="0%"/>
    <numFmt numFmtId="170" formatCode="#,##0.000"/>
    <numFmt numFmtId="171" formatCode="0.0"/>
    <numFmt numFmtId="172" formatCode="\₹#,##0.00"/>
    <numFmt numFmtId="173" formatCode="\₹#,##0.000"/>
    <numFmt numFmtId="174" formatCode="0"/>
    <numFmt numFmtId="175" formatCode="0.00"/>
    <numFmt numFmtId="176" formatCode="0.0\x"/>
    <numFmt numFmtId="177" formatCode="\+0.0;\-0.0;0.0"/>
  </numFmts>
  <fonts count="17">
    <font>
      <sz val="11"/>
      <color theme="1"/>
      <name val="Calibri"/>
      <family val="2"/>
      <charset val="1"/>
    </font>
    <font>
      <sz val="10"/>
      <name val="Arial"/>
      <family val="0"/>
    </font>
    <font>
      <sz val="10"/>
      <name val="Arial"/>
      <family val="0"/>
    </font>
    <font>
      <sz val="10"/>
      <name val="Arial"/>
      <family val="0"/>
    </font>
    <font>
      <b val="true"/>
      <sz val="14"/>
      <color rgb="FF1B2A41"/>
      <name val="Arial"/>
      <family val="0"/>
      <charset val="1"/>
    </font>
    <font>
      <i val="true"/>
      <sz val="9"/>
      <color rgb="FF5A6270"/>
      <name val="Arial"/>
      <family val="0"/>
      <charset val="1"/>
    </font>
    <font>
      <b val="true"/>
      <sz val="10"/>
      <color rgb="FF1B2A41"/>
      <name val="Arial"/>
      <family val="0"/>
      <charset val="1"/>
    </font>
    <font>
      <sz val="10"/>
      <name val="Arial"/>
      <family val="0"/>
      <charset val="1"/>
    </font>
    <font>
      <sz val="10"/>
      <color rgb="FF1B2A41"/>
      <name val="Arial"/>
      <family val="0"/>
      <charset val="1"/>
    </font>
    <font>
      <b val="true"/>
      <sz val="10"/>
      <color rgb="FFFFFFFF"/>
      <name val="Arial"/>
      <family val="0"/>
      <charset val="1"/>
    </font>
    <font>
      <b val="true"/>
      <sz val="10"/>
      <name val="Arial"/>
      <family val="0"/>
      <charset val="1"/>
    </font>
    <font>
      <b val="true"/>
      <sz val="9"/>
      <color rgb="FFFFFFFF"/>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b val="true"/>
      <sz val="11"/>
      <color rgb="FF1B2A41"/>
      <name val="Arial"/>
      <family val="0"/>
      <charset val="1"/>
    </font>
    <font>
      <sz val="9"/>
      <name val="Arial"/>
      <family val="0"/>
      <charset val="1"/>
    </font>
  </fonts>
  <fills count="8">
    <fill>
      <patternFill patternType="none"/>
    </fill>
    <fill>
      <patternFill patternType="gray125"/>
    </fill>
    <fill>
      <patternFill patternType="solid">
        <fgColor rgb="FF1B2A41"/>
        <bgColor rgb="FF003366"/>
      </patternFill>
    </fill>
    <fill>
      <patternFill patternType="solid">
        <fgColor rgb="FFFFF2B3"/>
        <bgColor rgb="FFFBF0DA"/>
      </patternFill>
    </fill>
    <fill>
      <patternFill patternType="solid">
        <fgColor rgb="FFE6F2F0"/>
        <bgColor rgb="FFF6F7F9"/>
      </patternFill>
    </fill>
    <fill>
      <patternFill patternType="solid">
        <fgColor rgb="FFFBF0DA"/>
        <bgColor rgb="FFF6F7F9"/>
      </patternFill>
    </fill>
    <fill>
      <patternFill patternType="solid">
        <fgColor rgb="FFF6F7F9"/>
        <bgColor rgb="FFFFFFFF"/>
      </patternFill>
    </fill>
    <fill>
      <patternFill patternType="solid">
        <fgColor rgb="FF0F6E6E"/>
        <bgColor rgb="FF008080"/>
      </patternFill>
    </fill>
  </fills>
  <borders count="2">
    <border diagonalUp="false" diagonalDown="false">
      <left/>
      <right/>
      <top/>
      <bottom/>
      <diagonal/>
    </border>
    <border diagonalUp="false" diagonalDown="false">
      <left style="thin">
        <color rgb="FFD5D9E0"/>
      </left>
      <right style="thin">
        <color rgb="FFD5D9E0"/>
      </right>
      <top style="thin">
        <color rgb="FFD5D9E0"/>
      </top>
      <bottom style="thin">
        <color rgb="FFD5D9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center" vertical="bottom" textRotation="0" wrapText="false" indent="0" shrinkToFit="false"/>
      <protection locked="true" hidden="false"/>
    </xf>
    <xf numFmtId="164" fontId="11" fillId="2"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6" fontId="14" fillId="3" borderId="1" xfId="0" applyFont="true" applyBorder="true" applyAlignment="true" applyProtection="false">
      <alignment horizontal="general" vertical="top" textRotation="0" wrapText="true" indent="0" shrinkToFit="false"/>
      <protection locked="true" hidden="false"/>
    </xf>
    <xf numFmtId="167" fontId="14" fillId="3" borderId="1" xfId="0" applyFont="true" applyBorder="true" applyAlignment="true" applyProtection="false">
      <alignment horizontal="general" vertical="top" textRotation="0" wrapText="true" indent="0" shrinkToFit="false"/>
      <protection locked="true" hidden="false"/>
    </xf>
    <xf numFmtId="168" fontId="14" fillId="3" borderId="1" xfId="0" applyFont="true" applyBorder="true" applyAlignment="true" applyProtection="false">
      <alignment horizontal="general" vertical="top" textRotation="0" wrapText="true" indent="0" shrinkToFit="false"/>
      <protection locked="true" hidden="false"/>
    </xf>
    <xf numFmtId="169" fontId="14" fillId="3" borderId="1" xfId="0" applyFont="true" applyBorder="true" applyAlignment="true" applyProtection="false">
      <alignment horizontal="general" vertical="top" textRotation="0" wrapText="true" indent="0" shrinkToFit="false"/>
      <protection locked="true" hidden="false"/>
    </xf>
    <xf numFmtId="170" fontId="14" fillId="3" borderId="1"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6" fontId="13" fillId="4" borderId="1" xfId="0" applyFont="true" applyBorder="true" applyAlignment="true" applyProtection="false">
      <alignment horizontal="general" vertical="top" textRotation="0" wrapText="true" indent="0" shrinkToFit="false"/>
      <protection locked="true" hidden="false"/>
    </xf>
    <xf numFmtId="168" fontId="13" fillId="4" borderId="1" xfId="0" applyFont="true" applyBorder="true" applyAlignment="true" applyProtection="false">
      <alignment horizontal="general" vertical="top" textRotation="0" wrapText="true" indent="0" shrinkToFit="false"/>
      <protection locked="true" hidden="false"/>
    </xf>
    <xf numFmtId="171" fontId="13" fillId="4" borderId="1" xfId="0" applyFont="true" applyBorder="true" applyAlignment="true" applyProtection="false">
      <alignment horizontal="general" vertical="top" textRotation="0" wrapText="true" indent="0" shrinkToFit="false"/>
      <protection locked="true" hidden="false"/>
    </xf>
    <xf numFmtId="167" fontId="13" fillId="4" borderId="1" xfId="0" applyFont="true" applyBorder="true" applyAlignment="true" applyProtection="false">
      <alignment horizontal="general" vertical="top" textRotation="0" wrapText="true" indent="0" shrinkToFit="false"/>
      <protection locked="true" hidden="false"/>
    </xf>
    <xf numFmtId="172" fontId="13" fillId="4" borderId="1" xfId="0" applyFont="true" applyBorder="true" applyAlignment="true" applyProtection="false">
      <alignment horizontal="general" vertical="top" textRotation="0" wrapText="true" indent="0" shrinkToFit="false"/>
      <protection locked="true" hidden="false"/>
    </xf>
    <xf numFmtId="173" fontId="13" fillId="4" borderId="1" xfId="0" applyFont="true" applyBorder="true" applyAlignment="true" applyProtection="false">
      <alignment horizontal="general" vertical="top" textRotation="0" wrapText="true" indent="0" shrinkToFit="false"/>
      <protection locked="true" hidden="false"/>
    </xf>
    <xf numFmtId="166" fontId="13" fillId="5" borderId="1" xfId="0" applyFont="true" applyBorder="true" applyAlignment="true" applyProtection="false">
      <alignment horizontal="general" vertical="top" textRotation="0" wrapText="true" indent="0" shrinkToFit="false"/>
      <protection locked="true" hidden="false"/>
    </xf>
    <xf numFmtId="171" fontId="13" fillId="5" borderId="1" xfId="0" applyFont="true" applyBorder="true" applyAlignment="true" applyProtection="false">
      <alignment horizontal="general" vertical="top" textRotation="0" wrapText="true" indent="0" shrinkToFit="false"/>
      <protection locked="true" hidden="false"/>
    </xf>
    <xf numFmtId="167" fontId="13" fillId="5" borderId="1" xfId="0" applyFont="true" applyBorder="true" applyAlignment="true" applyProtection="false">
      <alignment horizontal="general" vertical="top" textRotation="0" wrapText="true" indent="0" shrinkToFit="false"/>
      <protection locked="true" hidden="false"/>
    </xf>
    <xf numFmtId="169" fontId="13" fillId="4" borderId="1" xfId="0" applyFont="true" applyBorder="true" applyAlignment="true" applyProtection="false">
      <alignment horizontal="general" vertical="top" textRotation="0" wrapText="true" indent="0" shrinkToFit="false"/>
      <protection locked="true" hidden="false"/>
    </xf>
    <xf numFmtId="174" fontId="14" fillId="3" borderId="1" xfId="0" applyFont="true" applyBorder="true" applyAlignment="true" applyProtection="false">
      <alignment horizontal="general" vertical="top" textRotation="0" wrapText="true" indent="0" shrinkToFit="false"/>
      <protection locked="true" hidden="false"/>
    </xf>
    <xf numFmtId="175" fontId="12" fillId="4"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6" fontId="16" fillId="0" borderId="1" xfId="0" applyFont="true" applyBorder="true" applyAlignment="true" applyProtection="false">
      <alignment horizontal="general" vertical="top" textRotation="0" wrapText="true" indent="0" shrinkToFit="false"/>
      <protection locked="true" hidden="false"/>
    </xf>
    <xf numFmtId="176" fontId="16" fillId="0" borderId="1" xfId="0" applyFont="true" applyBorder="true" applyAlignment="true" applyProtection="false">
      <alignment horizontal="general" vertical="top" textRotation="0" wrapText="true" indent="0" shrinkToFit="false"/>
      <protection locked="true" hidden="false"/>
    </xf>
    <xf numFmtId="164" fontId="16" fillId="6" borderId="1" xfId="0" applyFont="true" applyBorder="true" applyAlignment="true" applyProtection="false">
      <alignment horizontal="general" vertical="top" textRotation="0" wrapText="true" indent="0" shrinkToFit="false"/>
      <protection locked="true" hidden="false"/>
    </xf>
    <xf numFmtId="166" fontId="16" fillId="6" borderId="1" xfId="0" applyFont="true" applyBorder="true" applyAlignment="true" applyProtection="false">
      <alignment horizontal="general" vertical="top" textRotation="0" wrapText="true" indent="0" shrinkToFit="false"/>
      <protection locked="true" hidden="false"/>
    </xf>
    <xf numFmtId="176" fontId="16" fillId="6" borderId="1" xfId="0" applyFont="true" applyBorder="true" applyAlignment="true" applyProtection="false">
      <alignment horizontal="general" vertical="top" textRotation="0" wrapText="true" indent="0" shrinkToFit="false"/>
      <protection locked="true" hidden="false"/>
    </xf>
    <xf numFmtId="164" fontId="11" fillId="7" borderId="1" xfId="0" applyFont="true" applyBorder="true" applyAlignment="true" applyProtection="false">
      <alignment horizontal="general" vertical="center" textRotation="0" wrapText="true" indent="0" shrinkToFit="false"/>
      <protection locked="true" hidden="false"/>
    </xf>
    <xf numFmtId="164" fontId="16" fillId="4" borderId="1" xfId="0" applyFont="true" applyBorder="true" applyAlignment="true" applyProtection="false">
      <alignment horizontal="general" vertical="top" textRotation="0" wrapText="true" indent="0" shrinkToFit="false"/>
      <protection locked="true" hidden="false"/>
    </xf>
    <xf numFmtId="177" fontId="16" fillId="0" borderId="1" xfId="0" applyFont="true" applyBorder="true" applyAlignment="true" applyProtection="false">
      <alignment horizontal="general" vertical="top" textRotation="0" wrapText="true" indent="0" shrinkToFit="false"/>
      <protection locked="true" hidden="false"/>
    </xf>
    <xf numFmtId="177" fontId="16"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6E6E"/>
      <rgbColor rgb="FFC0C0C0"/>
      <rgbColor rgb="FF808080"/>
      <rgbColor rgb="FF9999FF"/>
      <rgbColor rgb="FF993366"/>
      <rgbColor rgb="FFFBF0DA"/>
      <rgbColor rgb="FFE6F2F0"/>
      <rgbColor rgb="FF660066"/>
      <rgbColor rgb="FFFF8080"/>
      <rgbColor rgb="FF0066CC"/>
      <rgbColor rgb="FFD5D9E0"/>
      <rgbColor rgb="FF000080"/>
      <rgbColor rgb="FFFF00FF"/>
      <rgbColor rgb="FFFFFF00"/>
      <rgbColor rgb="FF00FFFF"/>
      <rgbColor rgb="FF800080"/>
      <rgbColor rgb="FF800000"/>
      <rgbColor rgb="FF008080"/>
      <rgbColor rgb="FF0000FF"/>
      <rgbColor rgb="FF00CCFF"/>
      <rgbColor rgb="FFF6F7F9"/>
      <rgbColor rgb="FFCCFFCC"/>
      <rgbColor rgb="FFFFF2B3"/>
      <rgbColor rgb="FF99CCFF"/>
      <rgbColor rgb="FFFF99CC"/>
      <rgbColor rgb="FFCC99FF"/>
      <rgbColor rgb="FFFFCC99"/>
      <rgbColor rgb="FF3366FF"/>
      <rgbColor rgb="FF33CCCC"/>
      <rgbColor rgb="FF99CC00"/>
      <rgbColor rgb="FFFFCC00"/>
      <rgbColor rgb="FFFF9900"/>
      <rgbColor rgb="FFFF6600"/>
      <rgbColor rgb="FF5A6270"/>
      <rgbColor rgb="FF969696"/>
      <rgbColor rgb="FF003366"/>
      <rgbColor rgb="FF339966"/>
      <rgbColor rgb="FF003300"/>
      <rgbColor rgb="FF333300"/>
      <rgbColor rgb="FF993300"/>
      <rgbColor rgb="FF993366"/>
      <rgbColor rgb="FF333399"/>
      <rgbColor rgb="FF1B2A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23.85" hidden="false" customHeight="false" outlineLevel="0" collapsed="false">
      <c r="A4" s="3" t="s">
        <v>2</v>
      </c>
      <c r="B4" s="4" t="s">
        <v>3</v>
      </c>
    </row>
    <row r="5" customFormat="false" ht="23.85" hidden="false" customHeight="false" outlineLevel="0" collapsed="false">
      <c r="A5" s="3" t="s">
        <v>4</v>
      </c>
      <c r="B5" s="4" t="s">
        <v>5</v>
      </c>
    </row>
    <row r="6" customFormat="false" ht="23.85" hidden="false" customHeight="false" outlineLevel="0" collapsed="false">
      <c r="A6" s="3" t="s">
        <v>6</v>
      </c>
      <c r="B6" s="4" t="s">
        <v>7</v>
      </c>
    </row>
    <row r="7" customFormat="false" ht="15" hidden="false" customHeight="false" outlineLevel="0" collapsed="false">
      <c r="A7" s="3" t="s">
        <v>8</v>
      </c>
      <c r="B7" s="4" t="s">
        <v>9</v>
      </c>
    </row>
    <row r="8" customFormat="false" ht="23.85" hidden="false" customHeight="false" outlineLevel="0" collapsed="false">
      <c r="A8" s="3" t="s">
        <v>10</v>
      </c>
      <c r="B8" s="4" t="s">
        <v>11</v>
      </c>
    </row>
    <row r="9" customFormat="false" ht="15" hidden="false" customHeight="false" outlineLevel="0" collapsed="false">
      <c r="A9" s="3" t="s">
        <v>12</v>
      </c>
      <c r="B9" s="4"/>
    </row>
    <row r="10" customFormat="false" ht="15" hidden="false" customHeight="false" outlineLevel="0" collapsed="false">
      <c r="A10" s="5" t="s">
        <v>13</v>
      </c>
      <c r="B10" s="4" t="s">
        <v>14</v>
      </c>
    </row>
    <row r="11" customFormat="false" ht="15" hidden="false" customHeight="false" outlineLevel="0" collapsed="false">
      <c r="A11" s="5" t="s">
        <v>15</v>
      </c>
      <c r="B11" s="4" t="s">
        <v>16</v>
      </c>
    </row>
    <row r="12" customFormat="false" ht="23.85" hidden="false" customHeight="false" outlineLevel="0" collapsed="false">
      <c r="A12" s="5" t="s">
        <v>17</v>
      </c>
      <c r="B12" s="4" t="s">
        <v>18</v>
      </c>
    </row>
    <row r="13" customFormat="false" ht="15" hidden="false" customHeight="false" outlineLevel="0" collapsed="false">
      <c r="A13" s="5" t="s">
        <v>19</v>
      </c>
      <c r="B13" s="4" t="s">
        <v>20</v>
      </c>
    </row>
    <row r="14" customFormat="false" ht="15" hidden="false" customHeight="false" outlineLevel="0" collapsed="false">
      <c r="A14" s="5" t="s">
        <v>21</v>
      </c>
      <c r="B14" s="4" t="s">
        <v>22</v>
      </c>
    </row>
    <row r="15" customFormat="false" ht="15" hidden="false" customHeight="false" outlineLevel="0" collapsed="false">
      <c r="A15" s="5" t="s">
        <v>23</v>
      </c>
      <c r="B15" s="4" t="s">
        <v>24</v>
      </c>
    </row>
    <row r="16" customFormat="false" ht="15" hidden="false" customHeight="false" outlineLevel="0" collapsed="false">
      <c r="A16" s="5" t="s">
        <v>25</v>
      </c>
      <c r="B16" s="4" t="s">
        <v>26</v>
      </c>
    </row>
    <row r="17" customFormat="false" ht="15" hidden="false" customHeight="false" outlineLevel="0" collapsed="false">
      <c r="A17" s="5" t="s">
        <v>27</v>
      </c>
      <c r="B17" s="4" t="s">
        <v>28</v>
      </c>
    </row>
    <row r="18" customFormat="false" ht="15" hidden="false" customHeight="false" outlineLevel="0" collapsed="false">
      <c r="A18" s="5" t="s">
        <v>29</v>
      </c>
      <c r="B18" s="4" t="s">
        <v>30</v>
      </c>
    </row>
    <row r="19" customFormat="false" ht="15" hidden="false" customHeight="false" outlineLevel="0" collapsed="false">
      <c r="A19" s="5" t="s">
        <v>31</v>
      </c>
      <c r="B19" s="4" t="s">
        <v>32</v>
      </c>
    </row>
    <row r="20" customFormat="false" ht="15" hidden="false" customHeight="false" outlineLevel="0" collapsed="false">
      <c r="A20" s="5" t="s">
        <v>33</v>
      </c>
      <c r="B20" s="4" t="s">
        <v>34</v>
      </c>
    </row>
    <row r="21" customFormat="false" ht="23.85" hidden="false" customHeight="false" outlineLevel="0" collapsed="false">
      <c r="A21" s="3" t="s">
        <v>35</v>
      </c>
      <c r="B21" s="4" t="s">
        <v>36</v>
      </c>
    </row>
    <row r="22" customFormat="false" ht="15" hidden="false" customHeight="false" outlineLevel="0" collapsed="false">
      <c r="A22" s="5" t="s">
        <v>37</v>
      </c>
      <c r="B22" s="6" t="s">
        <v>38</v>
      </c>
    </row>
    <row r="23" customFormat="false" ht="15" hidden="false" customHeight="false" outlineLevel="0" collapsed="false">
      <c r="A23" s="5" t="s">
        <v>39</v>
      </c>
      <c r="B23" s="6"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0"/>
    <col collapsed="false" customWidth="true" hidden="false" outlineLevel="0" max="3" min="3" style="0" width="40"/>
  </cols>
  <sheetData>
    <row r="1" customFormat="false" ht="17.35" hidden="false" customHeight="false" outlineLevel="0" collapsed="false">
      <c r="A1" s="1" t="s">
        <v>41</v>
      </c>
    </row>
    <row r="2" customFormat="false" ht="15" hidden="false" customHeight="false" outlineLevel="0" collapsed="false">
      <c r="A2" s="2" t="s">
        <v>42</v>
      </c>
    </row>
    <row r="5" customFormat="false" ht="15" hidden="false" customHeight="false" outlineLevel="0" collapsed="false">
      <c r="A5" s="7" t="s">
        <v>43</v>
      </c>
      <c r="B5" s="8"/>
      <c r="C5" s="8"/>
    </row>
    <row r="6" customFormat="false" ht="15" hidden="false" customHeight="false" outlineLevel="0" collapsed="false">
      <c r="A6" s="6" t="s">
        <v>44</v>
      </c>
      <c r="B6" s="9" t="n">
        <f aca="false">COUNTA('S1 Clarification'!$A$5:$A$32)</f>
        <v>28</v>
      </c>
      <c r="C6" s="2" t="s">
        <v>45</v>
      </c>
    </row>
    <row r="7" customFormat="false" ht="15" hidden="false" customHeight="false" outlineLevel="0" collapsed="false">
      <c r="A7" s="6" t="s">
        <v>46</v>
      </c>
      <c r="B7" s="9" t="n">
        <f aca="false">COUNTA('S2 Config Checks'!$A$5:$A$24)</f>
        <v>20</v>
      </c>
      <c r="C7" s="2" t="s">
        <v>47</v>
      </c>
    </row>
    <row r="8" customFormat="false" ht="15" hidden="false" customHeight="false" outlineLevel="0" collapsed="false">
      <c r="A8" s="6" t="s">
        <v>48</v>
      </c>
      <c r="B8" s="9" t="n">
        <f aca="false">COUNTA('U1 UAT Diagnosis'!$A$5:$A$16)</f>
        <v>12</v>
      </c>
      <c r="C8" s="2" t="s">
        <v>49</v>
      </c>
    </row>
    <row r="9" customFormat="false" ht="15" hidden="false" customHeight="false" outlineLevel="0" collapsed="false">
      <c r="A9" s="6" t="s">
        <v>50</v>
      </c>
      <c r="B9" s="9" t="n">
        <f aca="false">COUNTA('P1 Safety Net (MVP)'!$A$5:$A$14)</f>
        <v>10</v>
      </c>
      <c r="C9" s="2" t="s">
        <v>51</v>
      </c>
    </row>
    <row r="10" customFormat="false" ht="15" hidden="false" customHeight="false" outlineLevel="0" collapsed="false">
      <c r="A10" s="6" t="s">
        <v>52</v>
      </c>
      <c r="B10" s="9" t="n">
        <f aca="false">COUNTA('P2 Drift (V2)'!$A$5:$A$12)</f>
        <v>8</v>
      </c>
      <c r="C10" s="2" t="s">
        <v>53</v>
      </c>
    </row>
    <row r="11" customFormat="false" ht="15" hidden="false" customHeight="false" outlineLevel="0" collapsed="false">
      <c r="A11" s="10" t="s">
        <v>54</v>
      </c>
      <c r="B11" s="11" t="n">
        <f aca="false">SUM(B6:B10)</f>
        <v>78</v>
      </c>
    </row>
    <row r="12" customFormat="false" ht="15" hidden="false" customHeight="false" outlineLevel="0" collapsed="false">
      <c r="A12" s="6"/>
    </row>
    <row r="13" customFormat="false" ht="15" hidden="false" customHeight="false" outlineLevel="0" collapsed="false">
      <c r="A13" s="7" t="s">
        <v>55</v>
      </c>
      <c r="B13" s="8"/>
      <c r="C13" s="8"/>
    </row>
    <row r="14" customFormat="false" ht="15" hidden="false" customHeight="false" outlineLevel="0" collapsed="false">
      <c r="A14" s="6" t="s">
        <v>56</v>
      </c>
      <c r="B14" s="9" t="n">
        <f aca="false">COUNTIF('S1 Clarification'!$F$5:$F$32,"Yes")</f>
        <v>22</v>
      </c>
      <c r="C14" s="2" t="s">
        <v>57</v>
      </c>
    </row>
    <row r="15" customFormat="false" ht="15" hidden="false" customHeight="false" outlineLevel="0" collapsed="false">
      <c r="A15" s="6" t="s">
        <v>58</v>
      </c>
      <c r="B15" s="9" t="n">
        <f aca="false">COUNTIF('S1 Clarification'!$F$5:$F$32,"No")</f>
        <v>4</v>
      </c>
      <c r="C15" s="2" t="s">
        <v>59</v>
      </c>
    </row>
    <row r="16" customFormat="false" ht="15" hidden="false" customHeight="false" outlineLevel="0" collapsed="false">
      <c r="A16" s="6" t="s">
        <v>60</v>
      </c>
      <c r="B16" s="9" t="n">
        <f aca="false">COUNTIF('S1 Clarification'!$F$5:$F$32,"Route to SE")</f>
        <v>2</v>
      </c>
      <c r="C16" s="2" t="s">
        <v>61</v>
      </c>
    </row>
    <row r="17" customFormat="false" ht="15" hidden="false" customHeight="false" outlineLevel="0" collapsed="false">
      <c r="A17" s="6" t="s">
        <v>62</v>
      </c>
      <c r="B17" s="9" t="n">
        <f aca="false">COUNTIF('S1 Clarification'!$E$5:$E$32,"Contradiction")</f>
        <v>2</v>
      </c>
    </row>
    <row r="18" customFormat="false" ht="15" hidden="false" customHeight="false" outlineLevel="0" collapsed="false">
      <c r="A18" s="6"/>
    </row>
    <row r="19" customFormat="false" ht="15" hidden="false" customHeight="false" outlineLevel="0" collapsed="false">
      <c r="A19" s="7" t="s">
        <v>63</v>
      </c>
      <c r="B19" s="8"/>
      <c r="C19" s="8"/>
    </row>
    <row r="20" customFormat="false" ht="15" hidden="false" customHeight="false" outlineLevel="0" collapsed="false">
      <c r="A20" s="6" t="s">
        <v>64</v>
      </c>
      <c r="B20" s="9" t="n">
        <f aca="false">COUNTIF('S2 Config Checks'!$G$5:$G$24,"Error")</f>
        <v>11</v>
      </c>
    </row>
    <row r="21" customFormat="false" ht="15" hidden="false" customHeight="false" outlineLevel="0" collapsed="false">
      <c r="A21" s="6" t="s">
        <v>65</v>
      </c>
      <c r="B21" s="9" t="n">
        <f aca="false">COUNTIF('S2 Config Checks'!$G$5:$G$24,"Warning")</f>
        <v>4</v>
      </c>
    </row>
    <row r="22" customFormat="false" ht="15" hidden="false" customHeight="false" outlineLevel="0" collapsed="false">
      <c r="A22" s="6" t="s">
        <v>66</v>
      </c>
      <c r="B22" s="9" t="n">
        <f aca="false">COUNTIF('S2 Config Checks'!$G$5:$G$24,"Pass")</f>
        <v>5</v>
      </c>
      <c r="C22" s="2" t="s">
        <v>67</v>
      </c>
    </row>
    <row r="23" customFormat="false" ht="15" hidden="false" customHeight="false" outlineLevel="0" collapsed="false">
      <c r="A23" s="6"/>
    </row>
    <row r="24" customFormat="false" ht="15" hidden="false" customHeight="false" outlineLevel="0" collapsed="false">
      <c r="A24" s="7" t="s">
        <v>68</v>
      </c>
      <c r="B24" s="8"/>
      <c r="C24" s="8"/>
    </row>
    <row r="25" customFormat="false" ht="15" hidden="false" customHeight="false" outlineLevel="0" collapsed="false">
      <c r="A25" s="6" t="s">
        <v>69</v>
      </c>
      <c r="B25" s="9" t="n">
        <f aca="false">COUNTIF('U1 UAT Diagnosis'!$I$5:$I$16,"Configuration error*")</f>
        <v>7</v>
      </c>
    </row>
    <row r="26" customFormat="false" ht="15" hidden="false" customHeight="false" outlineLevel="0" collapsed="false">
      <c r="A26" s="6" t="s">
        <v>70</v>
      </c>
      <c r="B26" s="9" t="n">
        <f aca="false">COUNTIF('U1 UAT Diagnosis'!$I$5:$I$16,"Requirement conflicts with target")</f>
        <v>2</v>
      </c>
      <c r="C26" s="2" t="s">
        <v>71</v>
      </c>
    </row>
    <row r="27" customFormat="false" ht="15" hidden="false" customHeight="false" outlineLevel="0" collapsed="false">
      <c r="A27" s="6" t="s">
        <v>72</v>
      </c>
      <c r="B27" s="9" t="n">
        <f aca="false">COUNTIF('U1 UAT Diagnosis'!$I$5:$I$16,"Test data issue")</f>
        <v>1</v>
      </c>
      <c r="C27" s="2" t="s">
        <v>73</v>
      </c>
    </row>
    <row r="28" customFormat="false" ht="15" hidden="false" customHeight="false" outlineLevel="0" collapsed="false">
      <c r="A28" s="6" t="s">
        <v>74</v>
      </c>
      <c r="B28" s="9" t="n">
        <f aca="false">COUNTIF('U1 UAT Diagnosis'!$I$5:$I$16,"Rule-only*")</f>
        <v>1</v>
      </c>
    </row>
    <row r="29" customFormat="false" ht="15" hidden="false" customHeight="false" outlineLevel="0" collapsed="false">
      <c r="A29" s="6" t="s">
        <v>75</v>
      </c>
      <c r="B29" s="9" t="n">
        <f aca="false">COUNTIF('U1 UAT Diagnosis'!$I$5:$I$16,"Regression*")</f>
        <v>1</v>
      </c>
    </row>
    <row r="30" customFormat="false" ht="15" hidden="false" customHeight="false" outlineLevel="0" collapsed="false">
      <c r="A30" s="6"/>
    </row>
    <row r="31" customFormat="false" ht="15" hidden="false" customHeight="false" outlineLevel="0" collapsed="false">
      <c r="A31" s="7" t="s">
        <v>76</v>
      </c>
      <c r="B31" s="8"/>
      <c r="C31" s="8"/>
    </row>
    <row r="32" customFormat="false" ht="15" hidden="false" customHeight="false" outlineLevel="0" collapsed="false">
      <c r="A32" s="6" t="s">
        <v>77</v>
      </c>
      <c r="B32" s="9" t="n">
        <f aca="false">COUNTIF('P1 Safety Net (MVP)'!$E$5:$E$14,"Yes*")</f>
        <v>6</v>
      </c>
    </row>
    <row r="33" customFormat="false" ht="15" hidden="false" customHeight="false" outlineLevel="0" collapsed="false">
      <c r="A33" s="6" t="s">
        <v>78</v>
      </c>
      <c r="B33" s="9" t="n">
        <f aca="false">COUNTIF('P1 Safety Net (MVP)'!$E$5:$E$14,"No")</f>
        <v>4</v>
      </c>
      <c r="C33" s="2" t="s">
        <v>79</v>
      </c>
    </row>
    <row r="34" customFormat="false" ht="15" hidden="false" customHeight="false" outlineLevel="0" collapsed="false">
      <c r="A34" s="6" t="s">
        <v>80</v>
      </c>
      <c r="B34" s="9" t="n">
        <f aca="false">COUNTIF('P2 Drift (V2)'!$P$5:$P$12,"Real drift*")</f>
        <v>5</v>
      </c>
    </row>
    <row r="35" customFormat="false" ht="15" hidden="false" customHeight="false" outlineLevel="0" collapsed="false">
      <c r="A35" s="6" t="s">
        <v>81</v>
      </c>
      <c r="B35" s="9" t="n">
        <f aca="false">COUNTA('P2 Drift (V2)'!$P$5:$P$12)-B34</f>
        <v>3</v>
      </c>
      <c r="C35" s="2" t="s">
        <v>82</v>
      </c>
    </row>
    <row r="36" customFormat="false" ht="15" hidden="false" customHeight="false" outlineLevel="0" collapsed="false">
      <c r="A36" s="6"/>
    </row>
    <row r="37" customFormat="false" ht="15" hidden="false" customHeight="false" outlineLevel="0" collapsed="false">
      <c r="A37" s="7" t="s">
        <v>83</v>
      </c>
      <c r="B37" s="8"/>
      <c r="C37" s="8"/>
    </row>
    <row r="38" customFormat="false" ht="15" hidden="false" customHeight="false" outlineLevel="0" collapsed="false">
      <c r="A38" s="6" t="s">
        <v>84</v>
      </c>
      <c r="B38" s="9" t="n">
        <f aca="false">COUNTIF('S1 Clarification'!$M$5:$M$32,"Hard")+COUNTIF('U1 UAT Diagnosis'!$M$5:$M$16,"Hard")+COUNTIF('P2 Drift (V2)'!$T$5:$T$12,"Hard")</f>
        <v>14</v>
      </c>
    </row>
    <row r="39" customFormat="false" ht="15" hidden="false" customHeight="false" outlineLevel="0" collapsed="false">
      <c r="A39" s="6" t="s">
        <v>85</v>
      </c>
      <c r="B39" s="9" t="n">
        <f aca="false">COUNTIF('S1 Clarification'!$M$5:$M$32,"Medium")+COUNTIF('U1 UAT Diagnosis'!$M$5:$M$16,"Medium")+COUNTIF('P2 Drift (V2)'!$T$5:$T$12,"Medium")</f>
        <v>16</v>
      </c>
    </row>
    <row r="40" customFormat="false" ht="15" hidden="false" customHeight="false" outlineLevel="0" collapsed="false">
      <c r="A40" s="6" t="s">
        <v>86</v>
      </c>
      <c r="B40" s="9" t="n">
        <f aca="false">COUNTIF('S1 Clarification'!$M$5:$M$32,"Easy")+COUNTIF('U1 UAT Diagnosis'!$M$5:$M$16,"Easy")+COUNTIF('P2 Drift (V2)'!$T$5:$T$12,"Easy")</f>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6"/>
    <col collapsed="false" customWidth="true" hidden="false" outlineLevel="0" max="3" min="3" style="0" width="16"/>
    <col collapsed="false" customWidth="true" hidden="false" outlineLevel="0" max="4" min="4" style="0" width="20"/>
    <col collapsed="false" customWidth="true" hidden="false" outlineLevel="0" max="5" min="5" style="0" width="18"/>
    <col collapsed="false" customWidth="true" hidden="false" outlineLevel="0" max="6" min="6" style="0" width="64"/>
  </cols>
  <sheetData>
    <row r="1" customFormat="false" ht="17.35" hidden="false" customHeight="false" outlineLevel="0" collapsed="false">
      <c r="A1" s="1" t="s">
        <v>87</v>
      </c>
    </row>
    <row r="2" customFormat="false" ht="15" hidden="false" customHeight="false" outlineLevel="0" collapsed="false">
      <c r="A2" s="2" t="s">
        <v>88</v>
      </c>
    </row>
    <row r="4" customFormat="false" ht="15" hidden="false" customHeight="false" outlineLevel="0" collapsed="false">
      <c r="A4" s="12" t="s">
        <v>89</v>
      </c>
      <c r="B4" s="12" t="s">
        <v>90</v>
      </c>
      <c r="C4" s="12" t="s">
        <v>91</v>
      </c>
      <c r="D4" s="12" t="s">
        <v>92</v>
      </c>
      <c r="E4" s="12" t="s">
        <v>93</v>
      </c>
      <c r="F4" s="12" t="s">
        <v>94</v>
      </c>
    </row>
    <row r="5" customFormat="false" ht="15" hidden="false" customHeight="false" outlineLevel="0" collapsed="false">
      <c r="A5" s="13" t="s">
        <v>95</v>
      </c>
      <c r="B5" s="14" t="s">
        <v>96</v>
      </c>
      <c r="C5" s="15" t="n">
        <v>5</v>
      </c>
      <c r="D5" s="14" t="s">
        <v>97</v>
      </c>
      <c r="E5" s="14" t="s">
        <v>98</v>
      </c>
      <c r="F5" s="14" t="s">
        <v>99</v>
      </c>
    </row>
    <row r="6" customFormat="false" ht="15" hidden="false" customHeight="false" outlineLevel="0" collapsed="false">
      <c r="A6" s="13" t="s">
        <v>100</v>
      </c>
      <c r="B6" s="14" t="s">
        <v>101</v>
      </c>
      <c r="C6" s="15" t="n">
        <v>4</v>
      </c>
      <c r="D6" s="14" t="s">
        <v>102</v>
      </c>
      <c r="E6" s="14" t="s">
        <v>103</v>
      </c>
      <c r="F6" s="14" t="s">
        <v>104</v>
      </c>
    </row>
    <row r="7" customFormat="false" ht="15" hidden="false" customHeight="false" outlineLevel="0" collapsed="false">
      <c r="A7" s="13" t="s">
        <v>105</v>
      </c>
      <c r="B7" s="14" t="s">
        <v>106</v>
      </c>
      <c r="C7" s="15" t="n">
        <v>10</v>
      </c>
      <c r="D7" s="14" t="s">
        <v>97</v>
      </c>
      <c r="E7" s="14" t="s">
        <v>98</v>
      </c>
      <c r="F7" s="14" t="s">
        <v>107</v>
      </c>
    </row>
    <row r="8" customFormat="false" ht="15" hidden="false" customHeight="false" outlineLevel="0" collapsed="false">
      <c r="A8" s="13" t="s">
        <v>108</v>
      </c>
      <c r="B8" s="14" t="s">
        <v>109</v>
      </c>
      <c r="C8" s="15" t="n">
        <v>4</v>
      </c>
      <c r="D8" s="14" t="s">
        <v>110</v>
      </c>
      <c r="E8" s="14" t="s">
        <v>103</v>
      </c>
      <c r="F8" s="14" t="s">
        <v>111</v>
      </c>
    </row>
    <row r="9" customFormat="false" ht="15" hidden="false" customHeight="false" outlineLevel="0" collapsed="false">
      <c r="A9" s="13" t="s">
        <v>112</v>
      </c>
      <c r="B9" s="14" t="s">
        <v>113</v>
      </c>
      <c r="C9" s="15" t="n">
        <v>2</v>
      </c>
      <c r="D9" s="14" t="s">
        <v>110</v>
      </c>
      <c r="E9" s="14" t="s">
        <v>114</v>
      </c>
      <c r="F9" s="14" t="s">
        <v>115</v>
      </c>
    </row>
    <row r="10" customFormat="false" ht="15" hidden="false" customHeight="false" outlineLevel="0" collapsed="false">
      <c r="A10" s="13" t="s">
        <v>116</v>
      </c>
      <c r="B10" s="14" t="s">
        <v>117</v>
      </c>
      <c r="C10" s="15" t="n">
        <v>30</v>
      </c>
      <c r="D10" s="14" t="s">
        <v>118</v>
      </c>
      <c r="E10" s="14" t="s">
        <v>103</v>
      </c>
      <c r="F10" s="14" t="s">
        <v>119</v>
      </c>
    </row>
    <row r="11" customFormat="false" ht="15" hidden="false" customHeight="false" outlineLevel="0" collapsed="false">
      <c r="A11" s="13" t="s">
        <v>120</v>
      </c>
      <c r="B11" s="14" t="s">
        <v>121</v>
      </c>
      <c r="C11" s="15" t="n">
        <v>10</v>
      </c>
      <c r="D11" s="14" t="s">
        <v>118</v>
      </c>
      <c r="E11" s="14" t="s">
        <v>103</v>
      </c>
      <c r="F11" s="14" t="s">
        <v>122</v>
      </c>
    </row>
    <row r="12" customFormat="false" ht="15" hidden="false" customHeight="false" outlineLevel="0" collapsed="false">
      <c r="A12" s="13" t="s">
        <v>123</v>
      </c>
      <c r="B12" s="14" t="s">
        <v>124</v>
      </c>
      <c r="C12" s="16" t="n">
        <v>2500</v>
      </c>
      <c r="D12" s="14" t="s">
        <v>125</v>
      </c>
      <c r="E12" s="14" t="s">
        <v>103</v>
      </c>
      <c r="F12" s="14" t="s">
        <v>126</v>
      </c>
    </row>
    <row r="13" customFormat="false" ht="15" hidden="false" customHeight="false" outlineLevel="0" collapsed="false">
      <c r="A13" s="13" t="s">
        <v>127</v>
      </c>
      <c r="B13" s="14" t="s">
        <v>128</v>
      </c>
      <c r="C13" s="15" t="n">
        <v>1800</v>
      </c>
      <c r="D13" s="14" t="s">
        <v>118</v>
      </c>
      <c r="E13" s="14" t="s">
        <v>103</v>
      </c>
      <c r="F13" s="14" t="s">
        <v>129</v>
      </c>
    </row>
    <row r="14" customFormat="false" ht="15" hidden="false" customHeight="false" outlineLevel="0" collapsed="false">
      <c r="A14" s="13" t="s">
        <v>130</v>
      </c>
      <c r="B14" s="14" t="s">
        <v>131</v>
      </c>
      <c r="C14" s="16" t="n">
        <v>3000000</v>
      </c>
      <c r="D14" s="14" t="s">
        <v>125</v>
      </c>
      <c r="E14" s="14" t="s">
        <v>103</v>
      </c>
      <c r="F14" s="14" t="s">
        <v>132</v>
      </c>
    </row>
    <row r="15" customFormat="false" ht="15" hidden="false" customHeight="false" outlineLevel="0" collapsed="false">
      <c r="A15" s="13" t="s">
        <v>133</v>
      </c>
      <c r="B15" s="14" t="s">
        <v>134</v>
      </c>
      <c r="C15" s="15" t="n">
        <v>300</v>
      </c>
      <c r="D15" s="14" t="s">
        <v>135</v>
      </c>
      <c r="E15" s="14" t="s">
        <v>103</v>
      </c>
      <c r="F15" s="14" t="s">
        <v>136</v>
      </c>
    </row>
    <row r="16" customFormat="false" ht="15" hidden="false" customHeight="false" outlineLevel="0" collapsed="false">
      <c r="A16" s="13" t="s">
        <v>137</v>
      </c>
      <c r="B16" s="14" t="s">
        <v>138</v>
      </c>
      <c r="C16" s="15" t="n">
        <v>5</v>
      </c>
      <c r="D16" s="14" t="s">
        <v>139</v>
      </c>
      <c r="E16" s="14" t="s">
        <v>103</v>
      </c>
      <c r="F16" s="14" t="s">
        <v>140</v>
      </c>
    </row>
    <row r="17" customFormat="false" ht="15" hidden="false" customHeight="false" outlineLevel="0" collapsed="false">
      <c r="A17" s="13" t="s">
        <v>137</v>
      </c>
      <c r="B17" s="14" t="s">
        <v>141</v>
      </c>
      <c r="C17" s="15" t="n">
        <v>24</v>
      </c>
      <c r="D17" s="14" t="s">
        <v>102</v>
      </c>
      <c r="E17" s="14" t="s">
        <v>103</v>
      </c>
      <c r="F17" s="14" t="s">
        <v>142</v>
      </c>
    </row>
    <row r="18" customFormat="false" ht="15" hidden="false" customHeight="false" outlineLevel="0" collapsed="false">
      <c r="A18" s="13" t="s">
        <v>137</v>
      </c>
      <c r="B18" s="14" t="s">
        <v>143</v>
      </c>
      <c r="C18" s="15" t="n">
        <v>40</v>
      </c>
      <c r="D18" s="14" t="s">
        <v>118</v>
      </c>
      <c r="E18" s="14" t="s">
        <v>103</v>
      </c>
      <c r="F18" s="14" t="s">
        <v>144</v>
      </c>
    </row>
    <row r="19" customFormat="false" ht="15" hidden="false" customHeight="false" outlineLevel="0" collapsed="false">
      <c r="A19" s="13" t="s">
        <v>145</v>
      </c>
      <c r="B19" s="14" t="s">
        <v>146</v>
      </c>
      <c r="C19" s="15" t="n">
        <v>12</v>
      </c>
      <c r="D19" s="14" t="s">
        <v>118</v>
      </c>
      <c r="E19" s="14" t="s">
        <v>103</v>
      </c>
      <c r="F19" s="14" t="s">
        <v>147</v>
      </c>
    </row>
    <row r="20" customFormat="false" ht="23.85" hidden="false" customHeight="false" outlineLevel="0" collapsed="false">
      <c r="A20" s="13" t="s">
        <v>148</v>
      </c>
      <c r="B20" s="14" t="s">
        <v>149</v>
      </c>
      <c r="C20" s="17" t="n">
        <v>3.5</v>
      </c>
      <c r="D20" s="14" t="s">
        <v>150</v>
      </c>
      <c r="E20" s="14" t="s">
        <v>103</v>
      </c>
      <c r="F20" s="14" t="s">
        <v>151</v>
      </c>
    </row>
    <row r="21" customFormat="false" ht="15" hidden="false" customHeight="false" outlineLevel="0" collapsed="false">
      <c r="A21" s="13" t="s">
        <v>152</v>
      </c>
      <c r="B21" s="14" t="s">
        <v>153</v>
      </c>
      <c r="C21" s="15" t="n">
        <v>500</v>
      </c>
      <c r="D21" s="14" t="s">
        <v>154</v>
      </c>
      <c r="E21" s="14" t="s">
        <v>103</v>
      </c>
      <c r="F21" s="14" t="s">
        <v>155</v>
      </c>
    </row>
    <row r="22" customFormat="false" ht="15" hidden="false" customHeight="false" outlineLevel="0" collapsed="false">
      <c r="A22" s="13" t="s">
        <v>156</v>
      </c>
      <c r="B22" s="14" t="s">
        <v>157</v>
      </c>
      <c r="C22" s="16" t="n">
        <v>600000</v>
      </c>
      <c r="D22" s="14" t="s">
        <v>158</v>
      </c>
      <c r="E22" s="14" t="s">
        <v>103</v>
      </c>
      <c r="F22" s="14" t="s">
        <v>159</v>
      </c>
    </row>
    <row r="23" customFormat="false" ht="15" hidden="false" customHeight="false" outlineLevel="0" collapsed="false">
      <c r="A23" s="13" t="s">
        <v>160</v>
      </c>
      <c r="B23" s="14" t="s">
        <v>161</v>
      </c>
      <c r="C23" s="15" t="n">
        <v>5</v>
      </c>
      <c r="D23" s="14" t="s">
        <v>162</v>
      </c>
      <c r="E23" s="14" t="s">
        <v>103</v>
      </c>
      <c r="F23" s="14" t="s">
        <v>163</v>
      </c>
    </row>
    <row r="24" customFormat="false" ht="15" hidden="false" customHeight="false" outlineLevel="0" collapsed="false">
      <c r="A24" s="13" t="s">
        <v>164</v>
      </c>
      <c r="B24" s="14" t="s">
        <v>165</v>
      </c>
      <c r="C24" s="18" t="n">
        <v>0.1</v>
      </c>
      <c r="D24" s="14" t="s">
        <v>166</v>
      </c>
      <c r="E24" s="14" t="s">
        <v>103</v>
      </c>
      <c r="F24" s="14" t="s">
        <v>167</v>
      </c>
    </row>
    <row r="25" customFormat="false" ht="15" hidden="false" customHeight="false" outlineLevel="0" collapsed="false">
      <c r="A25" s="13" t="s">
        <v>168</v>
      </c>
      <c r="B25" s="14" t="s">
        <v>169</v>
      </c>
      <c r="C25" s="19" t="n">
        <v>0.05</v>
      </c>
      <c r="D25" s="14" t="s">
        <v>150</v>
      </c>
      <c r="E25" s="14" t="s">
        <v>103</v>
      </c>
      <c r="F25" s="14" t="s">
        <v>170</v>
      </c>
    </row>
    <row r="26" customFormat="false" ht="15" hidden="false" customHeight="false" outlineLevel="0" collapsed="false">
      <c r="A26" s="13" t="s">
        <v>171</v>
      </c>
      <c r="B26" s="14" t="s">
        <v>172</v>
      </c>
      <c r="C26" s="19" t="n">
        <v>0.002</v>
      </c>
      <c r="D26" s="14" t="s">
        <v>150</v>
      </c>
      <c r="E26" s="14" t="s">
        <v>103</v>
      </c>
      <c r="F26" s="14" t="s">
        <v>173</v>
      </c>
    </row>
    <row r="27" customFormat="false" ht="15" hidden="false" customHeight="false" outlineLevel="0" collapsed="false">
      <c r="A27" s="13" t="s">
        <v>174</v>
      </c>
      <c r="B27" s="14" t="s">
        <v>175</v>
      </c>
      <c r="C27" s="15" t="n">
        <v>4</v>
      </c>
      <c r="D27" s="14" t="s">
        <v>154</v>
      </c>
      <c r="E27" s="14" t="s">
        <v>103</v>
      </c>
      <c r="F27" s="14" t="s">
        <v>176</v>
      </c>
    </row>
    <row r="29" customFormat="false" ht="15" hidden="false" customHeight="false" outlineLevel="0" collapsed="false">
      <c r="A29" s="20" t="s">
        <v>177</v>
      </c>
    </row>
    <row r="30" customFormat="false" ht="15" hidden="false" customHeight="false" outlineLevel="0" collapsed="false">
      <c r="A30" s="12"/>
      <c r="B30" s="12" t="s">
        <v>178</v>
      </c>
      <c r="C30" s="12" t="s">
        <v>91</v>
      </c>
      <c r="D30" s="12" t="s">
        <v>92</v>
      </c>
      <c r="E30" s="12" t="s">
        <v>179</v>
      </c>
    </row>
    <row r="31" customFormat="false" ht="23.85" hidden="false" customHeight="false" outlineLevel="0" collapsed="false">
      <c r="B31" s="13" t="s">
        <v>180</v>
      </c>
      <c r="C31" s="21" t="n">
        <f aca="false">$C$5/$C$6*52</f>
        <v>65</v>
      </c>
      <c r="D31" s="14" t="s">
        <v>181</v>
      </c>
      <c r="E31" s="14" t="s">
        <v>182</v>
      </c>
    </row>
    <row r="32" customFormat="false" ht="15" hidden="false" customHeight="false" outlineLevel="0" collapsed="false">
      <c r="B32" s="13" t="s">
        <v>183</v>
      </c>
      <c r="C32" s="22" t="n">
        <f aca="false">$C$7/C31*52</f>
        <v>8</v>
      </c>
      <c r="D32" s="14" t="s">
        <v>102</v>
      </c>
      <c r="E32" s="14" t="s">
        <v>184</v>
      </c>
    </row>
    <row r="33" customFormat="false" ht="15" hidden="false" customHeight="false" outlineLevel="0" collapsed="false">
      <c r="B33" s="13" t="s">
        <v>185</v>
      </c>
      <c r="C33" s="21" t="n">
        <f aca="false">C31*$C$8*$C$10</f>
        <v>7800</v>
      </c>
      <c r="D33" s="14" t="s">
        <v>186</v>
      </c>
      <c r="E33" s="14" t="s">
        <v>187</v>
      </c>
    </row>
    <row r="34" customFormat="false" ht="15" hidden="false" customHeight="false" outlineLevel="0" collapsed="false">
      <c r="B34" s="13" t="s">
        <v>188</v>
      </c>
      <c r="C34" s="21" t="n">
        <f aca="false">($C$8-$C$9)*$C$10+$C$11</f>
        <v>70</v>
      </c>
      <c r="D34" s="14" t="s">
        <v>118</v>
      </c>
      <c r="E34" s="14" t="s">
        <v>189</v>
      </c>
    </row>
    <row r="35" customFormat="false" ht="23.85" hidden="false" customHeight="false" outlineLevel="0" collapsed="false">
      <c r="B35" s="13" t="s">
        <v>190</v>
      </c>
      <c r="C35" s="21" t="n">
        <f aca="false">C31*C34</f>
        <v>4550</v>
      </c>
      <c r="D35" s="14" t="s">
        <v>186</v>
      </c>
      <c r="E35" s="14" t="s">
        <v>191</v>
      </c>
    </row>
    <row r="36" customFormat="false" ht="15" hidden="false" customHeight="false" outlineLevel="0" collapsed="false">
      <c r="B36" s="13" t="s">
        <v>192</v>
      </c>
      <c r="C36" s="23" t="n">
        <f aca="false">C35/$C$13</f>
        <v>2.52777777777778</v>
      </c>
      <c r="D36" s="14" t="s">
        <v>139</v>
      </c>
      <c r="E36" s="14" t="s">
        <v>193</v>
      </c>
    </row>
    <row r="37" customFormat="false" ht="15" hidden="false" customHeight="false" outlineLevel="0" collapsed="false">
      <c r="B37" s="13" t="s">
        <v>194</v>
      </c>
      <c r="C37" s="24" t="n">
        <f aca="false">C35*$C$12</f>
        <v>11375000</v>
      </c>
      <c r="D37" s="14" t="s">
        <v>195</v>
      </c>
      <c r="E37" s="14" t="s">
        <v>196</v>
      </c>
    </row>
    <row r="38" customFormat="false" ht="15" hidden="false" customHeight="false" outlineLevel="0" collapsed="false">
      <c r="B38" s="13" t="s">
        <v>197</v>
      </c>
      <c r="C38" s="23" t="n">
        <f aca="false">$C$6/$C$8</f>
        <v>1</v>
      </c>
      <c r="D38" s="14" t="s">
        <v>102</v>
      </c>
      <c r="E38" s="14" t="s">
        <v>198</v>
      </c>
    </row>
    <row r="39" customFormat="false" ht="23.85" hidden="false" customHeight="false" outlineLevel="0" collapsed="false">
      <c r="B39" s="13" t="s">
        <v>199</v>
      </c>
      <c r="C39" s="23" t="n">
        <f aca="false">($C$8-$C$9)*C38</f>
        <v>2</v>
      </c>
      <c r="D39" s="14" t="s">
        <v>102</v>
      </c>
      <c r="E39" s="14" t="s">
        <v>200</v>
      </c>
    </row>
    <row r="40" customFormat="false" ht="46.25" hidden="false" customHeight="false" outlineLevel="0" collapsed="false">
      <c r="B40" s="13" t="s">
        <v>201</v>
      </c>
      <c r="C40" s="24" t="n">
        <f aca="false">C31*$C$14*C39/52</f>
        <v>7500000</v>
      </c>
      <c r="D40" s="14" t="s">
        <v>195</v>
      </c>
      <c r="E40" s="14" t="s">
        <v>202</v>
      </c>
    </row>
    <row r="41" customFormat="false" ht="15" hidden="false" customHeight="false" outlineLevel="0" collapsed="false">
      <c r="B41" s="13" t="s">
        <v>203</v>
      </c>
      <c r="C41" s="24" t="n">
        <f aca="false">$C$15*$C$14</f>
        <v>900000000</v>
      </c>
      <c r="D41" s="14" t="s">
        <v>125</v>
      </c>
      <c r="E41" s="14" t="s">
        <v>204</v>
      </c>
    </row>
    <row r="42" customFormat="false" ht="23.85" hidden="false" customHeight="false" outlineLevel="0" collapsed="false">
      <c r="B42" s="13" t="s">
        <v>205</v>
      </c>
      <c r="C42" s="24" t="n">
        <f aca="false">$C$16*$C$17*$C$18*$C$12</f>
        <v>12000000</v>
      </c>
      <c r="D42" s="14" t="s">
        <v>125</v>
      </c>
      <c r="E42" s="14" t="s">
        <v>206</v>
      </c>
    </row>
    <row r="43" customFormat="false" ht="23.85" hidden="false" customHeight="false" outlineLevel="0" collapsed="false">
      <c r="B43" s="13" t="s">
        <v>207</v>
      </c>
      <c r="C43" s="23" t="n">
        <f aca="false">C42/C37*12</f>
        <v>12.6593406593407</v>
      </c>
      <c r="D43" s="14" t="s">
        <v>208</v>
      </c>
      <c r="E43" s="14" t="s">
        <v>209</v>
      </c>
    </row>
    <row r="44" customFormat="false" ht="15" hidden="false" customHeight="false" outlineLevel="0" collapsed="false">
      <c r="B44" s="13" t="s">
        <v>210</v>
      </c>
      <c r="C44" s="24" t="n">
        <f aca="false">C31*$C$20*$C$21</f>
        <v>113750</v>
      </c>
      <c r="D44" s="14" t="s">
        <v>195</v>
      </c>
      <c r="E44" s="14" t="s">
        <v>211</v>
      </c>
    </row>
    <row r="45" customFormat="false" ht="23.85" hidden="false" customHeight="false" outlineLevel="0" collapsed="false">
      <c r="B45" s="13" t="s">
        <v>212</v>
      </c>
      <c r="C45" s="21" t="n">
        <f aca="false">C31*$C$8*$C$19</f>
        <v>3120</v>
      </c>
      <c r="D45" s="14" t="s">
        <v>186</v>
      </c>
      <c r="E45" s="14" t="s">
        <v>213</v>
      </c>
    </row>
    <row r="46" customFormat="false" ht="23.85" hidden="false" customHeight="false" outlineLevel="0" collapsed="false">
      <c r="B46" s="13" t="s">
        <v>214</v>
      </c>
      <c r="C46" s="21" t="n">
        <f aca="false">C31*($C$8-$C$9)*$C$19</f>
        <v>1560</v>
      </c>
      <c r="D46" s="14" t="s">
        <v>186</v>
      </c>
      <c r="E46" s="14" t="s">
        <v>215</v>
      </c>
    </row>
    <row r="47" customFormat="false" ht="23.85" hidden="false" customHeight="false" outlineLevel="0" collapsed="false">
      <c r="B47" s="13" t="s">
        <v>216</v>
      </c>
      <c r="C47" s="21" t="n">
        <f aca="false">C31*C39</f>
        <v>130</v>
      </c>
      <c r="D47" s="14" t="s">
        <v>217</v>
      </c>
      <c r="E47" s="14" t="s">
        <v>218</v>
      </c>
    </row>
    <row r="48" customFormat="false" ht="15" hidden="false" customHeight="false" outlineLevel="0" collapsed="false">
      <c r="B48" s="13" t="s">
        <v>219</v>
      </c>
      <c r="C48" s="21" t="n">
        <f aca="false">$C$15*$C$23*52</f>
        <v>78000</v>
      </c>
      <c r="D48" s="14" t="s">
        <v>220</v>
      </c>
      <c r="E48" s="14" t="s">
        <v>221</v>
      </c>
    </row>
    <row r="49" customFormat="false" ht="23.85" hidden="false" customHeight="false" outlineLevel="0" collapsed="false">
      <c r="B49" s="13" t="s">
        <v>222</v>
      </c>
      <c r="C49" s="24" t="n">
        <f aca="false">C48*$C$25*$C$21</f>
        <v>1950000</v>
      </c>
      <c r="D49" s="14" t="s">
        <v>195</v>
      </c>
      <c r="E49" s="14" t="s">
        <v>223</v>
      </c>
    </row>
    <row r="50" customFormat="false" ht="35.05" hidden="false" customHeight="false" outlineLevel="0" collapsed="false">
      <c r="B50" s="13" t="s">
        <v>224</v>
      </c>
      <c r="C50" s="24" t="n">
        <f aca="false">C48*$C$26*$C$27+C48*$C$24*$C$25*$C$21</f>
        <v>195624</v>
      </c>
      <c r="D50" s="14" t="s">
        <v>195</v>
      </c>
      <c r="E50" s="14" t="s">
        <v>225</v>
      </c>
    </row>
    <row r="51" customFormat="false" ht="23.85" hidden="false" customHeight="false" outlineLevel="0" collapsed="false">
      <c r="B51" s="13" t="s">
        <v>226</v>
      </c>
      <c r="C51" s="24" t="n">
        <f aca="false">C49-C50</f>
        <v>1754376</v>
      </c>
      <c r="D51" s="14" t="s">
        <v>195</v>
      </c>
      <c r="E51" s="14" t="s">
        <v>227</v>
      </c>
    </row>
    <row r="52" customFormat="false" ht="23.85" hidden="false" customHeight="false" outlineLevel="0" collapsed="false">
      <c r="B52" s="13" t="s">
        <v>228</v>
      </c>
      <c r="C52" s="24" t="n">
        <f aca="false">C44+$C$22</f>
        <v>713750</v>
      </c>
      <c r="D52" s="14" t="s">
        <v>195</v>
      </c>
      <c r="E52" s="14" t="s">
        <v>229</v>
      </c>
    </row>
    <row r="53" customFormat="false" ht="15" hidden="false" customHeight="false" outlineLevel="0" collapsed="false">
      <c r="B53" s="13" t="s">
        <v>230</v>
      </c>
      <c r="C53" s="25" t="n">
        <f aca="false">$C$25*$C$21</f>
        <v>25</v>
      </c>
      <c r="D53" s="14" t="s">
        <v>231</v>
      </c>
      <c r="E53" s="14" t="s">
        <v>232</v>
      </c>
    </row>
    <row r="54" customFormat="false" ht="15" hidden="false" customHeight="false" outlineLevel="0" collapsed="false">
      <c r="B54" s="13" t="s">
        <v>233</v>
      </c>
      <c r="C54" s="26" t="n">
        <f aca="false">$C$26*$C$27</f>
        <v>0.008</v>
      </c>
      <c r="D54" s="14" t="s">
        <v>231</v>
      </c>
      <c r="E54" s="14" t="s">
        <v>234</v>
      </c>
    </row>
    <row r="55" customFormat="false" ht="15" hidden="false" customHeight="false" outlineLevel="0" collapsed="false">
      <c r="B55" s="13" t="s">
        <v>235</v>
      </c>
      <c r="C55" s="24" t="n">
        <f aca="false">$C$20*$C$21</f>
        <v>1750</v>
      </c>
      <c r="D55" s="14" t="s">
        <v>236</v>
      </c>
      <c r="E55" s="14" t="s">
        <v>237</v>
      </c>
    </row>
    <row r="57" customFormat="false" ht="15" hidden="false" customHeight="false" outlineLevel="0" collapsed="false">
      <c r="A57" s="20" t="s">
        <v>238</v>
      </c>
    </row>
    <row r="58" customFormat="false" ht="15" hidden="false" customHeight="false" outlineLevel="0" collapsed="false">
      <c r="A58" s="12" t="s">
        <v>89</v>
      </c>
      <c r="B58" s="12" t="s">
        <v>239</v>
      </c>
      <c r="C58" s="12" t="s">
        <v>91</v>
      </c>
      <c r="D58" s="12" t="s">
        <v>92</v>
      </c>
      <c r="E58" s="12" t="s">
        <v>240</v>
      </c>
    </row>
    <row r="59" customFormat="false" ht="15" hidden="false" customHeight="false" outlineLevel="0" collapsed="false">
      <c r="A59" s="13" t="s">
        <v>112</v>
      </c>
      <c r="B59" s="14" t="s">
        <v>241</v>
      </c>
      <c r="C59" s="15" t="n">
        <v>3</v>
      </c>
      <c r="D59" s="14" t="s">
        <v>110</v>
      </c>
      <c r="E59" s="14" t="s">
        <v>242</v>
      </c>
    </row>
    <row r="60" customFormat="false" ht="15" hidden="false" customHeight="false" outlineLevel="0" collapsed="false">
      <c r="A60" s="13" t="s">
        <v>120</v>
      </c>
      <c r="B60" s="14" t="s">
        <v>243</v>
      </c>
      <c r="C60" s="15" t="n">
        <v>5</v>
      </c>
      <c r="D60" s="14" t="s">
        <v>118</v>
      </c>
      <c r="E60" s="14" t="s">
        <v>244</v>
      </c>
    </row>
    <row r="62" customFormat="false" ht="15" hidden="false" customHeight="false" outlineLevel="0" collapsed="false">
      <c r="A62" s="12"/>
      <c r="B62" s="12" t="s">
        <v>245</v>
      </c>
      <c r="C62" s="12" t="s">
        <v>91</v>
      </c>
      <c r="D62" s="12" t="s">
        <v>92</v>
      </c>
      <c r="E62" s="12" t="s">
        <v>246</v>
      </c>
    </row>
    <row r="63" customFormat="false" ht="23.85" hidden="false" customHeight="false" outlineLevel="0" collapsed="false">
      <c r="B63" s="13" t="s">
        <v>188</v>
      </c>
      <c r="C63" s="27" t="n">
        <f aca="false">($C$8-$C$59)*$C$10+$C$60</f>
        <v>35</v>
      </c>
      <c r="D63" s="14" t="s">
        <v>118</v>
      </c>
      <c r="E63" s="14" t="s">
        <v>247</v>
      </c>
    </row>
    <row r="64" customFormat="false" ht="23.85" hidden="false" customHeight="false" outlineLevel="0" collapsed="false">
      <c r="B64" s="13" t="s">
        <v>190</v>
      </c>
      <c r="C64" s="27" t="n">
        <f aca="false">C31*C63</f>
        <v>2275</v>
      </c>
      <c r="D64" s="14" t="s">
        <v>186</v>
      </c>
      <c r="E64" s="14" t="s">
        <v>191</v>
      </c>
    </row>
    <row r="65" customFormat="false" ht="15" hidden="false" customHeight="false" outlineLevel="0" collapsed="false">
      <c r="B65" s="13" t="s">
        <v>192</v>
      </c>
      <c r="C65" s="28" t="n">
        <f aca="false">C64/$C$13</f>
        <v>1.26388888888889</v>
      </c>
      <c r="D65" s="14" t="s">
        <v>139</v>
      </c>
      <c r="E65" s="14" t="s">
        <v>193</v>
      </c>
    </row>
    <row r="66" customFormat="false" ht="15" hidden="false" customHeight="false" outlineLevel="0" collapsed="false">
      <c r="B66" s="13" t="s">
        <v>194</v>
      </c>
      <c r="C66" s="29" t="n">
        <f aca="false">C64*$C$12</f>
        <v>5687500</v>
      </c>
      <c r="D66" s="14" t="s">
        <v>195</v>
      </c>
      <c r="E66" s="14" t="s">
        <v>196</v>
      </c>
    </row>
    <row r="67" customFormat="false" ht="23.85" hidden="false" customHeight="false" outlineLevel="0" collapsed="false">
      <c r="B67" s="13" t="s">
        <v>199</v>
      </c>
      <c r="C67" s="28" t="n">
        <f aca="false">($C$8-$C$59)*C38</f>
        <v>1</v>
      </c>
      <c r="D67" s="14" t="s">
        <v>102</v>
      </c>
      <c r="E67" s="14" t="s">
        <v>248</v>
      </c>
    </row>
    <row r="68" customFormat="false" ht="23.85" hidden="false" customHeight="false" outlineLevel="0" collapsed="false">
      <c r="B68" s="13" t="s">
        <v>201</v>
      </c>
      <c r="C68" s="29" t="n">
        <f aca="false">C31*$C$14*C67/52</f>
        <v>3750000</v>
      </c>
      <c r="D68" s="14" t="s">
        <v>195</v>
      </c>
      <c r="E68" s="14" t="s">
        <v>249</v>
      </c>
    </row>
    <row r="69" customFormat="false" ht="23.85" hidden="false" customHeight="false" outlineLevel="0" collapsed="false">
      <c r="B69" s="13" t="s">
        <v>214</v>
      </c>
      <c r="C69" s="27" t="n">
        <f aca="false">C31*($C$8-$C$59)*$C$19</f>
        <v>780</v>
      </c>
      <c r="D69" s="14" t="s">
        <v>186</v>
      </c>
      <c r="E69" s="14" t="s">
        <v>250</v>
      </c>
    </row>
    <row r="70" customFormat="false" ht="23.85" hidden="false" customHeight="false" outlineLevel="0" collapsed="false">
      <c r="B70" s="13" t="s">
        <v>216</v>
      </c>
      <c r="C70" s="27" t="n">
        <f aca="false">C31*C67</f>
        <v>65</v>
      </c>
      <c r="D70" s="14" t="s">
        <v>217</v>
      </c>
      <c r="E70" s="14" t="s">
        <v>218</v>
      </c>
    </row>
    <row r="71" customFormat="false" ht="35.05" hidden="false" customHeight="false" outlineLevel="0" collapsed="false">
      <c r="B71" s="13" t="s">
        <v>207</v>
      </c>
      <c r="C71" s="28" t="n">
        <f aca="false">C42/C66*12</f>
        <v>25.3186813186813</v>
      </c>
      <c r="D71" s="14" t="s">
        <v>208</v>
      </c>
      <c r="E71" s="14" t="s">
        <v>251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12"/>
    <col collapsed="false" customWidth="true" hidden="false" outlineLevel="0" max="4" min="4" style="0" width="20"/>
    <col collapsed="false" customWidth="true" hidden="false" outlineLevel="0" max="5" min="5" style="0" width="16"/>
    <col collapsed="false" customWidth="true" hidden="false" outlineLevel="0" max="7" min="6" style="0" width="14"/>
    <col collapsed="false" customWidth="true" hidden="false" outlineLevel="0" max="8" min="8" style="0" width="10"/>
  </cols>
  <sheetData>
    <row r="1" customFormat="false" ht="17.35" hidden="false" customHeight="false" outlineLevel="0" collapsed="false">
      <c r="A1" s="1" t="s">
        <v>252</v>
      </c>
    </row>
    <row r="2" customFormat="false" ht="15" hidden="false" customHeight="false" outlineLevel="0" collapsed="false">
      <c r="A2" s="2" t="s">
        <v>253</v>
      </c>
    </row>
    <row r="4" customFormat="false" ht="22.35" hidden="false" customHeight="false" outlineLevel="0" collapsed="false">
      <c r="A4" s="12" t="s">
        <v>254</v>
      </c>
      <c r="B4" s="12" t="s">
        <v>255</v>
      </c>
      <c r="C4" s="12" t="s">
        <v>256</v>
      </c>
      <c r="D4" s="12" t="s">
        <v>257</v>
      </c>
      <c r="E4" s="12" t="s">
        <v>258</v>
      </c>
      <c r="F4" s="12" t="s">
        <v>259</v>
      </c>
      <c r="G4" s="12" t="s">
        <v>260</v>
      </c>
    </row>
    <row r="5" customFormat="false" ht="15" hidden="false" customHeight="false" outlineLevel="0" collapsed="false">
      <c r="A5" s="13" t="s">
        <v>261</v>
      </c>
      <c r="B5" s="18" t="n">
        <v>0.25</v>
      </c>
      <c r="C5" s="18" t="n">
        <v>0.15</v>
      </c>
      <c r="D5" s="18" t="n">
        <v>0.2</v>
      </c>
      <c r="E5" s="18" t="n">
        <v>0.2</v>
      </c>
      <c r="F5" s="18" t="n">
        <v>0.2</v>
      </c>
      <c r="G5" s="30" t="n">
        <f aca="false">SUM(B5:F5)</f>
        <v>1</v>
      </c>
    </row>
    <row r="7" customFormat="false" ht="22.35" hidden="false" customHeight="false" outlineLevel="0" collapsed="false">
      <c r="A7" s="12" t="s">
        <v>262</v>
      </c>
      <c r="B7" s="12" t="s">
        <v>255</v>
      </c>
      <c r="C7" s="12" t="s">
        <v>256</v>
      </c>
      <c r="D7" s="12" t="s">
        <v>257</v>
      </c>
      <c r="E7" s="12" t="s">
        <v>258</v>
      </c>
      <c r="F7" s="12" t="s">
        <v>259</v>
      </c>
      <c r="G7" s="12" t="s">
        <v>263</v>
      </c>
      <c r="H7" s="12" t="s">
        <v>264</v>
      </c>
    </row>
    <row r="8" customFormat="false" ht="15" hidden="false" customHeight="false" outlineLevel="0" collapsed="false">
      <c r="A8" s="13" t="s">
        <v>265</v>
      </c>
      <c r="B8" s="31" t="n">
        <v>4</v>
      </c>
      <c r="C8" s="31" t="n">
        <v>5</v>
      </c>
      <c r="D8" s="31" t="n">
        <v>4</v>
      </c>
      <c r="E8" s="31" t="n">
        <v>5</v>
      </c>
      <c r="F8" s="31" t="n">
        <v>4</v>
      </c>
      <c r="G8" s="32" t="n">
        <f aca="false">SUMPRODUCT($B$5:$F$5,B8:F8)</f>
        <v>4.35</v>
      </c>
      <c r="H8" s="14" t="s">
        <v>266</v>
      </c>
    </row>
    <row r="9" customFormat="false" ht="15" hidden="false" customHeight="false" outlineLevel="0" collapsed="false">
      <c r="A9" s="13" t="s">
        <v>267</v>
      </c>
      <c r="B9" s="31" t="n">
        <v>5</v>
      </c>
      <c r="C9" s="31" t="n">
        <v>4</v>
      </c>
      <c r="D9" s="31" t="n">
        <v>3</v>
      </c>
      <c r="E9" s="31" t="n">
        <v>5</v>
      </c>
      <c r="F9" s="31" t="n">
        <v>5</v>
      </c>
      <c r="G9" s="32" t="n">
        <f aca="false">SUMPRODUCT($B$5:$F$5,B9:F9)</f>
        <v>4.45</v>
      </c>
      <c r="H9" s="14" t="s">
        <v>266</v>
      </c>
    </row>
    <row r="10" customFormat="false" ht="15" hidden="false" customHeight="false" outlineLevel="0" collapsed="false">
      <c r="A10" s="13" t="s">
        <v>268</v>
      </c>
      <c r="B10" s="31" t="n">
        <v>4</v>
      </c>
      <c r="C10" s="31" t="n">
        <v>3</v>
      </c>
      <c r="D10" s="31" t="n">
        <v>3</v>
      </c>
      <c r="E10" s="31" t="n">
        <v>2</v>
      </c>
      <c r="F10" s="31" t="n">
        <v>2</v>
      </c>
      <c r="G10" s="32" t="n">
        <f aca="false">SUMPRODUCT($B$5:$F$5,B10:F10)</f>
        <v>2.85</v>
      </c>
      <c r="H10" s="14" t="s">
        <v>269</v>
      </c>
    </row>
    <row r="11" customFormat="false" ht="15" hidden="false" customHeight="false" outlineLevel="0" collapsed="false">
      <c r="A11" s="13" t="s">
        <v>270</v>
      </c>
      <c r="B11" s="31" t="n">
        <v>3</v>
      </c>
      <c r="C11" s="31" t="n">
        <v>3</v>
      </c>
      <c r="D11" s="31" t="n">
        <v>5</v>
      </c>
      <c r="E11" s="31" t="n">
        <v>5</v>
      </c>
      <c r="F11" s="31" t="n">
        <v>4</v>
      </c>
      <c r="G11" s="32" t="n">
        <f aca="false">SUMPRODUCT($B$5:$F$5,B11:F11)</f>
        <v>4</v>
      </c>
      <c r="H11" s="14" t="s">
        <v>266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3" min="3" style="0" width="12"/>
    <col collapsed="false" customWidth="true" hidden="false" outlineLevel="0" max="4" min="4" style="0" width="13"/>
    <col collapsed="false" customWidth="true" hidden="false" outlineLevel="0" max="5" min="5" style="0" width="11"/>
    <col collapsed="false" customWidth="true" hidden="false" outlineLevel="0" max="6" min="6" style="0" width="10"/>
    <col collapsed="false" customWidth="true" hidden="false" outlineLevel="0" max="7" min="7" style="0" width="26"/>
    <col collapsed="false" customWidth="true" hidden="false" outlineLevel="0" max="8" min="8" style="0" width="11"/>
    <col collapsed="false" customWidth="true" hidden="false" outlineLevel="0" max="9" min="9" style="0" width="16"/>
    <col collapsed="false" customWidth="true" hidden="false" outlineLevel="0" max="10" min="10" style="0" width="20"/>
    <col collapsed="false" customWidth="true" hidden="false" outlineLevel="0" max="12" min="11" style="0" width="11"/>
  </cols>
  <sheetData>
    <row r="1" customFormat="false" ht="17.35" hidden="false" customHeight="false" outlineLevel="0" collapsed="false">
      <c r="A1" s="1" t="s">
        <v>271</v>
      </c>
    </row>
    <row r="2" customFormat="false" ht="15" hidden="false" customHeight="false" outlineLevel="0" collapsed="false">
      <c r="A2" s="2" t="s">
        <v>272</v>
      </c>
    </row>
    <row r="4" customFormat="false" ht="30" hidden="false" customHeight="true" outlineLevel="0" collapsed="false">
      <c r="A4" s="12" t="s">
        <v>273</v>
      </c>
      <c r="B4" s="12" t="s">
        <v>274</v>
      </c>
      <c r="C4" s="12" t="s">
        <v>275</v>
      </c>
      <c r="D4" s="12" t="s">
        <v>276</v>
      </c>
      <c r="E4" s="12" t="s">
        <v>277</v>
      </c>
      <c r="F4" s="12" t="s">
        <v>278</v>
      </c>
      <c r="G4" s="12" t="s">
        <v>279</v>
      </c>
      <c r="H4" s="12" t="s">
        <v>280</v>
      </c>
      <c r="I4" s="12" t="s">
        <v>281</v>
      </c>
      <c r="J4" s="12" t="s">
        <v>282</v>
      </c>
      <c r="K4" s="12" t="s">
        <v>283</v>
      </c>
      <c r="L4" s="12" t="s">
        <v>284</v>
      </c>
    </row>
    <row r="5" customFormat="false" ht="15" hidden="false" customHeight="false" outlineLevel="0" collapsed="false">
      <c r="A5" s="33" t="s">
        <v>285</v>
      </c>
      <c r="B5" s="33" t="s">
        <v>286</v>
      </c>
      <c r="C5" s="33" t="s">
        <v>287</v>
      </c>
      <c r="D5" s="33" t="s">
        <v>288</v>
      </c>
      <c r="E5" s="34" t="n">
        <v>900</v>
      </c>
      <c r="F5" s="35" t="n">
        <v>2.2</v>
      </c>
      <c r="G5" s="33" t="s">
        <v>289</v>
      </c>
      <c r="H5" s="33" t="n">
        <v>3</v>
      </c>
      <c r="I5" s="33" t="s">
        <v>290</v>
      </c>
      <c r="J5" s="33" t="s">
        <v>291</v>
      </c>
      <c r="K5" s="33" t="s">
        <v>292</v>
      </c>
      <c r="L5" s="33"/>
    </row>
    <row r="6" customFormat="false" ht="15" hidden="false" customHeight="false" outlineLevel="0" collapsed="false">
      <c r="A6" s="36" t="s">
        <v>293</v>
      </c>
      <c r="B6" s="36" t="s">
        <v>294</v>
      </c>
      <c r="C6" s="36" t="s">
        <v>295</v>
      </c>
      <c r="D6" s="36" t="s">
        <v>296</v>
      </c>
      <c r="E6" s="37" t="n">
        <v>1500</v>
      </c>
      <c r="F6" s="38" t="n">
        <v>3</v>
      </c>
      <c r="G6" s="36" t="s">
        <v>297</v>
      </c>
      <c r="H6" s="36" t="n">
        <v>2</v>
      </c>
      <c r="I6" s="36" t="s">
        <v>298</v>
      </c>
      <c r="J6" s="36" t="s">
        <v>291</v>
      </c>
      <c r="K6" s="36" t="s">
        <v>292</v>
      </c>
      <c r="L6" s="36"/>
    </row>
    <row r="7" customFormat="false" ht="15" hidden="false" customHeight="false" outlineLevel="0" collapsed="false">
      <c r="A7" s="33" t="s">
        <v>299</v>
      </c>
      <c r="B7" s="33" t="s">
        <v>300</v>
      </c>
      <c r="C7" s="33" t="s">
        <v>287</v>
      </c>
      <c r="D7" s="33" t="s">
        <v>301</v>
      </c>
      <c r="E7" s="34" t="n">
        <v>1200</v>
      </c>
      <c r="F7" s="35" t="n">
        <v>2.9</v>
      </c>
      <c r="G7" s="33" t="s">
        <v>302</v>
      </c>
      <c r="H7" s="33" t="n">
        <v>2</v>
      </c>
      <c r="I7" s="33" t="s">
        <v>290</v>
      </c>
      <c r="J7" s="33" t="s">
        <v>291</v>
      </c>
      <c r="K7" s="33" t="s">
        <v>292</v>
      </c>
      <c r="L7" s="33"/>
    </row>
    <row r="8" customFormat="false" ht="15" hidden="false" customHeight="false" outlineLevel="0" collapsed="false">
      <c r="A8" s="36" t="s">
        <v>303</v>
      </c>
      <c r="B8" s="36" t="s">
        <v>304</v>
      </c>
      <c r="C8" s="36" t="s">
        <v>305</v>
      </c>
      <c r="D8" s="36" t="s">
        <v>306</v>
      </c>
      <c r="E8" s="37" t="n">
        <v>4000</v>
      </c>
      <c r="F8" s="38" t="n">
        <v>2.5</v>
      </c>
      <c r="G8" s="36" t="s">
        <v>307</v>
      </c>
      <c r="H8" s="36" t="n">
        <v>4</v>
      </c>
      <c r="I8" s="36" t="s">
        <v>308</v>
      </c>
      <c r="J8" s="36" t="s">
        <v>309</v>
      </c>
      <c r="K8" s="36" t="s">
        <v>292</v>
      </c>
      <c r="L8" s="36"/>
    </row>
    <row r="9" customFormat="false" ht="15" hidden="false" customHeight="false" outlineLevel="0" collapsed="false">
      <c r="A9" s="33" t="s">
        <v>310</v>
      </c>
      <c r="B9" s="33" t="s">
        <v>311</v>
      </c>
      <c r="C9" s="33" t="s">
        <v>295</v>
      </c>
      <c r="D9" s="33" t="s">
        <v>312</v>
      </c>
      <c r="E9" s="34" t="n">
        <v>2200</v>
      </c>
      <c r="F9" s="35" t="n">
        <v>3.5</v>
      </c>
      <c r="G9" s="33" t="s">
        <v>313</v>
      </c>
      <c r="H9" s="33" t="n">
        <v>1</v>
      </c>
      <c r="I9" s="33" t="s">
        <v>298</v>
      </c>
      <c r="J9" s="33" t="s">
        <v>314</v>
      </c>
      <c r="K9" s="33" t="s">
        <v>292</v>
      </c>
      <c r="L9" s="33"/>
    </row>
    <row r="10" customFormat="false" ht="15" hidden="false" customHeight="false" outlineLevel="0" collapsed="false">
      <c r="A10" s="36" t="s">
        <v>315</v>
      </c>
      <c r="B10" s="36" t="s">
        <v>316</v>
      </c>
      <c r="C10" s="36" t="s">
        <v>287</v>
      </c>
      <c r="D10" s="36" t="s">
        <v>317</v>
      </c>
      <c r="E10" s="37" t="n">
        <v>2600</v>
      </c>
      <c r="F10" s="38" t="n">
        <v>1.8</v>
      </c>
      <c r="G10" s="36" t="s">
        <v>318</v>
      </c>
      <c r="H10" s="36" t="n">
        <v>3</v>
      </c>
      <c r="I10" s="36" t="s">
        <v>290</v>
      </c>
      <c r="J10" s="36" t="s">
        <v>319</v>
      </c>
      <c r="K10" s="36" t="s">
        <v>292</v>
      </c>
      <c r="L10" s="36"/>
    </row>
    <row r="11" customFormat="false" ht="15" hidden="false" customHeight="false" outlineLevel="0" collapsed="false">
      <c r="A11" s="33" t="s">
        <v>320</v>
      </c>
      <c r="B11" s="33" t="s">
        <v>321</v>
      </c>
      <c r="C11" s="33" t="s">
        <v>287</v>
      </c>
      <c r="D11" s="33" t="s">
        <v>322</v>
      </c>
      <c r="E11" s="34" t="n">
        <v>700</v>
      </c>
      <c r="F11" s="35" t="n">
        <v>2</v>
      </c>
      <c r="G11" s="33" t="s">
        <v>323</v>
      </c>
      <c r="H11" s="33" t="n">
        <v>2</v>
      </c>
      <c r="I11" s="33" t="s">
        <v>290</v>
      </c>
      <c r="J11" s="33" t="s">
        <v>324</v>
      </c>
      <c r="K11" s="33" t="s">
        <v>292</v>
      </c>
      <c r="L11" s="33"/>
    </row>
    <row r="12" customFormat="false" ht="15" hidden="false" customHeight="false" outlineLevel="0" collapsed="false">
      <c r="A12" s="36" t="s">
        <v>325</v>
      </c>
      <c r="B12" s="36" t="s">
        <v>326</v>
      </c>
      <c r="C12" s="36" t="s">
        <v>295</v>
      </c>
      <c r="D12" s="36" t="s">
        <v>327</v>
      </c>
      <c r="E12" s="37" t="n">
        <v>1100</v>
      </c>
      <c r="F12" s="38" t="n">
        <v>2.8</v>
      </c>
      <c r="G12" s="36" t="s">
        <v>328</v>
      </c>
      <c r="H12" s="36" t="n">
        <v>1</v>
      </c>
      <c r="I12" s="36" t="s">
        <v>298</v>
      </c>
      <c r="J12" s="36" t="s">
        <v>314</v>
      </c>
      <c r="K12" s="36" t="s">
        <v>292</v>
      </c>
      <c r="L12" s="36"/>
    </row>
    <row r="13" customFormat="false" ht="15" hidden="false" customHeight="false" outlineLevel="0" collapsed="false">
      <c r="A13" s="33" t="s">
        <v>329</v>
      </c>
      <c r="B13" s="33" t="s">
        <v>330</v>
      </c>
      <c r="C13" s="33" t="s">
        <v>287</v>
      </c>
      <c r="D13" s="33" t="s">
        <v>331</v>
      </c>
      <c r="E13" s="34" t="n">
        <v>450</v>
      </c>
      <c r="F13" s="35" t="n">
        <v>1.6</v>
      </c>
      <c r="G13" s="33" t="s">
        <v>332</v>
      </c>
      <c r="H13" s="33" t="n">
        <v>2</v>
      </c>
      <c r="I13" s="33" t="s">
        <v>290</v>
      </c>
      <c r="J13" s="33" t="s">
        <v>333</v>
      </c>
      <c r="K13" s="33" t="s">
        <v>334</v>
      </c>
      <c r="L13" s="33"/>
    </row>
    <row r="14" customFormat="false" ht="15" hidden="false" customHeight="false" outlineLevel="0" collapsed="false">
      <c r="A14" s="36" t="s">
        <v>335</v>
      </c>
      <c r="B14" s="36" t="s">
        <v>336</v>
      </c>
      <c r="C14" s="36" t="s">
        <v>295</v>
      </c>
      <c r="D14" s="36" t="s">
        <v>288</v>
      </c>
      <c r="E14" s="37" t="n">
        <v>1300</v>
      </c>
      <c r="F14" s="38" t="n">
        <v>3.2</v>
      </c>
      <c r="G14" s="36" t="s">
        <v>302</v>
      </c>
      <c r="H14" s="36" t="n">
        <v>2</v>
      </c>
      <c r="I14" s="36" t="s">
        <v>298</v>
      </c>
      <c r="J14" s="36" t="s">
        <v>291</v>
      </c>
      <c r="K14" s="36" t="s">
        <v>334</v>
      </c>
      <c r="L14" s="36"/>
    </row>
    <row r="15" customFormat="false" ht="15" hidden="false" customHeight="false" outlineLevel="0" collapsed="false">
      <c r="A15" s="33" t="s">
        <v>337</v>
      </c>
      <c r="B15" s="33" t="s">
        <v>338</v>
      </c>
      <c r="C15" s="33" t="s">
        <v>295</v>
      </c>
      <c r="D15" s="33" t="s">
        <v>339</v>
      </c>
      <c r="E15" s="34" t="n">
        <v>1800</v>
      </c>
      <c r="F15" s="35" t="n">
        <v>2.7</v>
      </c>
      <c r="G15" s="33" t="s">
        <v>340</v>
      </c>
      <c r="H15" s="33" t="n">
        <v>2</v>
      </c>
      <c r="I15" s="33" t="s">
        <v>298</v>
      </c>
      <c r="J15" s="33" t="s">
        <v>314</v>
      </c>
      <c r="K15" s="33" t="s">
        <v>334</v>
      </c>
      <c r="L15" s="33"/>
    </row>
    <row r="16" customFormat="false" ht="15" hidden="false" customHeight="false" outlineLevel="0" collapsed="false">
      <c r="A16" s="36" t="s">
        <v>341</v>
      </c>
      <c r="B16" s="36" t="s">
        <v>342</v>
      </c>
      <c r="C16" s="36" t="s">
        <v>305</v>
      </c>
      <c r="D16" s="36" t="s">
        <v>343</v>
      </c>
      <c r="E16" s="37" t="n">
        <v>5200</v>
      </c>
      <c r="F16" s="38" t="n">
        <v>3</v>
      </c>
      <c r="G16" s="36" t="s">
        <v>307</v>
      </c>
      <c r="H16" s="36" t="n">
        <v>3</v>
      </c>
      <c r="I16" s="36" t="s">
        <v>344</v>
      </c>
      <c r="J16" s="36" t="s">
        <v>309</v>
      </c>
      <c r="K16" s="36" t="s">
        <v>334</v>
      </c>
      <c r="L16" s="36"/>
    </row>
    <row r="17" customFormat="false" ht="15" hidden="false" customHeight="false" outlineLevel="0" collapsed="false">
      <c r="A17" s="33" t="s">
        <v>345</v>
      </c>
      <c r="B17" s="33" t="s">
        <v>346</v>
      </c>
      <c r="C17" s="33" t="s">
        <v>295</v>
      </c>
      <c r="D17" s="33" t="s">
        <v>347</v>
      </c>
      <c r="E17" s="34" t="n">
        <v>600</v>
      </c>
      <c r="F17" s="35" t="n">
        <v>2.4</v>
      </c>
      <c r="G17" s="33" t="s">
        <v>302</v>
      </c>
      <c r="H17" s="33" t="n">
        <v>1</v>
      </c>
      <c r="I17" s="33" t="s">
        <v>298</v>
      </c>
      <c r="J17" s="33" t="s">
        <v>314</v>
      </c>
      <c r="K17" s="33" t="s">
        <v>334</v>
      </c>
      <c r="L17" s="33"/>
    </row>
    <row r="18" customFormat="false" ht="15" hidden="false" customHeight="false" outlineLevel="0" collapsed="false">
      <c r="A18" s="36" t="s">
        <v>348</v>
      </c>
      <c r="B18" s="36" t="s">
        <v>349</v>
      </c>
      <c r="C18" s="36" t="s">
        <v>287</v>
      </c>
      <c r="D18" s="36" t="s">
        <v>350</v>
      </c>
      <c r="E18" s="37" t="n">
        <v>1000</v>
      </c>
      <c r="F18" s="38" t="n">
        <v>1.7</v>
      </c>
      <c r="G18" s="36" t="s">
        <v>332</v>
      </c>
      <c r="H18" s="36" t="n">
        <v>2</v>
      </c>
      <c r="I18" s="36" t="s">
        <v>290</v>
      </c>
      <c r="J18" s="36" t="s">
        <v>319</v>
      </c>
      <c r="K18" s="36" t="s">
        <v>351</v>
      </c>
      <c r="L18" s="36" t="s">
        <v>352</v>
      </c>
    </row>
    <row r="19" customFormat="false" ht="15" hidden="false" customHeight="false" outlineLevel="0" collapsed="false">
      <c r="A19" s="33" t="s">
        <v>353</v>
      </c>
      <c r="B19" s="33" t="s">
        <v>354</v>
      </c>
      <c r="C19" s="33" t="s">
        <v>295</v>
      </c>
      <c r="D19" s="33" t="s">
        <v>355</v>
      </c>
      <c r="E19" s="34" t="n">
        <v>2400</v>
      </c>
      <c r="F19" s="35" t="n">
        <v>3.8</v>
      </c>
      <c r="G19" s="33" t="s">
        <v>356</v>
      </c>
      <c r="H19" s="33" t="n">
        <v>2</v>
      </c>
      <c r="I19" s="33" t="s">
        <v>298</v>
      </c>
      <c r="J19" s="33" t="s">
        <v>357</v>
      </c>
      <c r="K19" s="33" t="s">
        <v>351</v>
      </c>
      <c r="L19" s="33" t="s">
        <v>358</v>
      </c>
    </row>
    <row r="20" customFormat="false" ht="15" hidden="false" customHeight="false" outlineLevel="0" collapsed="false">
      <c r="A20" s="36" t="s">
        <v>359</v>
      </c>
      <c r="B20" s="36" t="s">
        <v>360</v>
      </c>
      <c r="C20" s="36" t="s">
        <v>287</v>
      </c>
      <c r="D20" s="36" t="s">
        <v>361</v>
      </c>
      <c r="E20" s="37" t="n">
        <v>1400</v>
      </c>
      <c r="F20" s="38" t="n">
        <v>2.3</v>
      </c>
      <c r="G20" s="36" t="s">
        <v>362</v>
      </c>
      <c r="H20" s="36" t="n">
        <v>3</v>
      </c>
      <c r="I20" s="36" t="s">
        <v>290</v>
      </c>
      <c r="J20" s="36" t="s">
        <v>291</v>
      </c>
      <c r="K20" s="36" t="s">
        <v>351</v>
      </c>
      <c r="L20" s="36" t="s">
        <v>363</v>
      </c>
    </row>
    <row r="21" customFormat="false" ht="15" hidden="false" customHeight="false" outlineLevel="0" collapsed="false">
      <c r="A21" s="33" t="s">
        <v>364</v>
      </c>
      <c r="B21" s="33" t="s">
        <v>365</v>
      </c>
      <c r="C21" s="33" t="s">
        <v>287</v>
      </c>
      <c r="D21" s="33" t="s">
        <v>366</v>
      </c>
      <c r="E21" s="34" t="n">
        <v>800</v>
      </c>
      <c r="F21" s="35" t="n">
        <v>1.9</v>
      </c>
      <c r="G21" s="33" t="s">
        <v>367</v>
      </c>
      <c r="H21" s="33" t="n">
        <v>2</v>
      </c>
      <c r="I21" s="33" t="s">
        <v>290</v>
      </c>
      <c r="J21" s="33" t="s">
        <v>291</v>
      </c>
      <c r="K21" s="33" t="s">
        <v>351</v>
      </c>
      <c r="L21" s="33" t="s">
        <v>368</v>
      </c>
    </row>
    <row r="22" customFormat="false" ht="15" hidden="false" customHeight="false" outlineLevel="0" collapsed="false">
      <c r="A22" s="36" t="s">
        <v>369</v>
      </c>
      <c r="B22" s="36" t="s">
        <v>370</v>
      </c>
      <c r="C22" s="36" t="s">
        <v>295</v>
      </c>
      <c r="D22" s="36" t="s">
        <v>371</v>
      </c>
      <c r="E22" s="37" t="n">
        <v>500</v>
      </c>
      <c r="F22" s="38" t="n">
        <v>2.6</v>
      </c>
      <c r="G22" s="36" t="s">
        <v>372</v>
      </c>
      <c r="H22" s="36" t="n">
        <v>2</v>
      </c>
      <c r="I22" s="36" t="s">
        <v>298</v>
      </c>
      <c r="J22" s="36" t="s">
        <v>319</v>
      </c>
      <c r="K22" s="36" t="s">
        <v>351</v>
      </c>
      <c r="L22" s="36" t="s">
        <v>373</v>
      </c>
    </row>
    <row r="23" customFormat="false" ht="15" hidden="false" customHeight="false" outlineLevel="0" collapsed="false">
      <c r="A23" s="33" t="s">
        <v>374</v>
      </c>
      <c r="B23" s="33" t="s">
        <v>375</v>
      </c>
      <c r="C23" s="33" t="s">
        <v>295</v>
      </c>
      <c r="D23" s="33" t="s">
        <v>376</v>
      </c>
      <c r="E23" s="34" t="n">
        <v>6000</v>
      </c>
      <c r="F23" s="35" t="n">
        <v>1.5</v>
      </c>
      <c r="G23" s="33" t="s">
        <v>377</v>
      </c>
      <c r="H23" s="33" t="n">
        <v>4</v>
      </c>
      <c r="I23" s="33" t="s">
        <v>298</v>
      </c>
      <c r="J23" s="33" t="s">
        <v>357</v>
      </c>
      <c r="K23" s="33" t="s">
        <v>351</v>
      </c>
      <c r="L23" s="33" t="s">
        <v>378</v>
      </c>
    </row>
    <row r="24" customFormat="false" ht="15" hidden="false" customHeight="false" outlineLevel="0" collapsed="false">
      <c r="A24" s="36" t="s">
        <v>379</v>
      </c>
      <c r="B24" s="36" t="s">
        <v>380</v>
      </c>
      <c r="C24" s="36" t="s">
        <v>287</v>
      </c>
      <c r="D24" s="36" t="s">
        <v>381</v>
      </c>
      <c r="E24" s="37" t="n">
        <v>650</v>
      </c>
      <c r="F24" s="38" t="n">
        <v>1.4</v>
      </c>
      <c r="G24" s="36" t="s">
        <v>382</v>
      </c>
      <c r="H24" s="36" t="n">
        <v>2</v>
      </c>
      <c r="I24" s="36" t="s">
        <v>290</v>
      </c>
      <c r="J24" s="36" t="s">
        <v>333</v>
      </c>
      <c r="K24" s="36" t="s">
        <v>351</v>
      </c>
      <c r="L24" s="36" t="s">
        <v>383</v>
      </c>
    </row>
    <row r="25" customFormat="false" ht="15" hidden="false" customHeight="false" outlineLevel="0" collapsed="false">
      <c r="A25" s="33" t="s">
        <v>384</v>
      </c>
      <c r="B25" s="33" t="s">
        <v>385</v>
      </c>
      <c r="C25" s="33" t="s">
        <v>305</v>
      </c>
      <c r="D25" s="33" t="s">
        <v>386</v>
      </c>
      <c r="E25" s="34" t="n">
        <v>4500</v>
      </c>
      <c r="F25" s="35" t="n">
        <v>2.8</v>
      </c>
      <c r="G25" s="33" t="s">
        <v>387</v>
      </c>
      <c r="H25" s="33" t="n">
        <v>3</v>
      </c>
      <c r="I25" s="33" t="s">
        <v>388</v>
      </c>
      <c r="J25" s="33" t="s">
        <v>309</v>
      </c>
      <c r="K25" s="33" t="s">
        <v>351</v>
      </c>
      <c r="L25" s="33" t="s">
        <v>389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9"/>
    <col collapsed="false" customWidth="true" hidden="false" outlineLevel="0" max="3" min="3" style="0" width="11"/>
    <col collapsed="false" customWidth="true" hidden="false" outlineLevel="0" max="4" min="4" style="0" width="56"/>
    <col collapsed="false" customWidth="true" hidden="false" outlineLevel="0" max="5" min="5" style="0" width="30"/>
    <col collapsed="false" customWidth="true" hidden="false" outlineLevel="0" max="6" min="6" style="0" width="13"/>
    <col collapsed="false" customWidth="true" hidden="false" outlineLevel="0" max="7" min="7" style="0" width="18"/>
    <col collapsed="false" customWidth="true" hidden="false" outlineLevel="0" max="8" min="8" style="0" width="14"/>
  </cols>
  <sheetData>
    <row r="1" customFormat="false" ht="17.35" hidden="false" customHeight="false" outlineLevel="0" collapsed="false">
      <c r="A1" s="1" t="s">
        <v>390</v>
      </c>
    </row>
    <row r="2" customFormat="false" ht="15" hidden="false" customHeight="false" outlineLevel="0" collapsed="false">
      <c r="A2" s="2" t="s">
        <v>391</v>
      </c>
    </row>
    <row r="4" customFormat="false" ht="30" hidden="false" customHeight="true" outlineLevel="0" collapsed="false">
      <c r="A4" s="12" t="s">
        <v>392</v>
      </c>
      <c r="B4" s="12" t="s">
        <v>273</v>
      </c>
      <c r="C4" s="12" t="s">
        <v>393</v>
      </c>
      <c r="D4" s="12" t="s">
        <v>394</v>
      </c>
      <c r="E4" s="12" t="s">
        <v>395</v>
      </c>
      <c r="F4" s="12" t="s">
        <v>92</v>
      </c>
      <c r="G4" s="12" t="s">
        <v>396</v>
      </c>
      <c r="H4" s="12" t="s">
        <v>397</v>
      </c>
    </row>
    <row r="5" customFormat="false" ht="15" hidden="false" customHeight="false" outlineLevel="0" collapsed="false">
      <c r="A5" s="33" t="s">
        <v>398</v>
      </c>
      <c r="B5" s="33" t="s">
        <v>399</v>
      </c>
      <c r="C5" s="33" t="s">
        <v>400</v>
      </c>
      <c r="D5" s="33" t="s">
        <v>401</v>
      </c>
      <c r="E5" s="33" t="s">
        <v>402</v>
      </c>
      <c r="F5" s="33" t="s">
        <v>125</v>
      </c>
      <c r="G5" s="33" t="s">
        <v>403</v>
      </c>
      <c r="H5" s="33" t="s">
        <v>404</v>
      </c>
    </row>
    <row r="6" customFormat="false" ht="15" hidden="false" customHeight="false" outlineLevel="0" collapsed="false">
      <c r="A6" s="36" t="s">
        <v>398</v>
      </c>
      <c r="B6" s="36" t="s">
        <v>405</v>
      </c>
      <c r="C6" s="36" t="s">
        <v>400</v>
      </c>
      <c r="D6" s="36" t="s">
        <v>406</v>
      </c>
      <c r="E6" s="36" t="s">
        <v>407</v>
      </c>
      <c r="F6" s="36" t="s">
        <v>125</v>
      </c>
      <c r="G6" s="36" t="s">
        <v>408</v>
      </c>
      <c r="H6" s="36" t="s">
        <v>409</v>
      </c>
    </row>
    <row r="7" customFormat="false" ht="15" hidden="false" customHeight="false" outlineLevel="0" collapsed="false">
      <c r="A7" s="33" t="s">
        <v>398</v>
      </c>
      <c r="B7" s="33" t="s">
        <v>410</v>
      </c>
      <c r="C7" s="33" t="s">
        <v>400</v>
      </c>
      <c r="D7" s="33" t="s">
        <v>411</v>
      </c>
      <c r="E7" s="33" t="s">
        <v>412</v>
      </c>
      <c r="F7" s="33" t="s">
        <v>413</v>
      </c>
      <c r="G7" s="33" t="s">
        <v>414</v>
      </c>
      <c r="H7" s="33" t="s">
        <v>415</v>
      </c>
    </row>
    <row r="8" customFormat="false" ht="22.35" hidden="false" customHeight="false" outlineLevel="0" collapsed="false">
      <c r="A8" s="36" t="s">
        <v>398</v>
      </c>
      <c r="B8" s="36" t="s">
        <v>403</v>
      </c>
      <c r="C8" s="36" t="s">
        <v>416</v>
      </c>
      <c r="D8" s="36" t="s">
        <v>417</v>
      </c>
      <c r="E8" s="36" t="s">
        <v>418</v>
      </c>
      <c r="F8" s="36"/>
      <c r="G8" s="36" t="s">
        <v>419</v>
      </c>
      <c r="H8" s="36" t="s">
        <v>404</v>
      </c>
    </row>
    <row r="9" customFormat="false" ht="15" hidden="false" customHeight="false" outlineLevel="0" collapsed="false">
      <c r="A9" s="33" t="s">
        <v>398</v>
      </c>
      <c r="B9" s="33" t="s">
        <v>408</v>
      </c>
      <c r="C9" s="33" t="s">
        <v>416</v>
      </c>
      <c r="D9" s="33" t="s">
        <v>420</v>
      </c>
      <c r="E9" s="33" t="s">
        <v>418</v>
      </c>
      <c r="F9" s="33"/>
      <c r="G9" s="33" t="s">
        <v>421</v>
      </c>
      <c r="H9" s="33" t="s">
        <v>409</v>
      </c>
    </row>
    <row r="10" customFormat="false" ht="22.35" hidden="false" customHeight="false" outlineLevel="0" collapsed="false">
      <c r="A10" s="36" t="s">
        <v>398</v>
      </c>
      <c r="B10" s="36" t="s">
        <v>421</v>
      </c>
      <c r="C10" s="36" t="s">
        <v>422</v>
      </c>
      <c r="D10" s="36" t="s">
        <v>423</v>
      </c>
      <c r="E10" s="36" t="s">
        <v>424</v>
      </c>
      <c r="F10" s="36"/>
      <c r="G10" s="36" t="s">
        <v>410</v>
      </c>
      <c r="H10" s="36" t="s">
        <v>409</v>
      </c>
    </row>
    <row r="11" customFormat="false" ht="15" hidden="false" customHeight="false" outlineLevel="0" collapsed="false">
      <c r="A11" s="33" t="s">
        <v>398</v>
      </c>
      <c r="B11" s="33" t="s">
        <v>419</v>
      </c>
      <c r="C11" s="33" t="s">
        <v>422</v>
      </c>
      <c r="D11" s="33" t="s">
        <v>425</v>
      </c>
      <c r="E11" s="33" t="s">
        <v>426</v>
      </c>
      <c r="F11" s="33"/>
      <c r="G11" s="33"/>
      <c r="H11" s="33" t="s">
        <v>415</v>
      </c>
    </row>
    <row r="12" customFormat="false" ht="15" hidden="false" customHeight="false" outlineLevel="0" collapsed="false">
      <c r="A12" s="36" t="s">
        <v>398</v>
      </c>
      <c r="B12" s="36" t="s">
        <v>427</v>
      </c>
      <c r="C12" s="36" t="s">
        <v>428</v>
      </c>
      <c r="D12" s="36" t="s">
        <v>429</v>
      </c>
      <c r="E12" s="36" t="s">
        <v>430</v>
      </c>
      <c r="F12" s="36"/>
      <c r="G12" s="36" t="s">
        <v>431</v>
      </c>
      <c r="H12" s="36" t="s">
        <v>432</v>
      </c>
    </row>
    <row r="13" customFormat="false" ht="15" hidden="false" customHeight="false" outlineLevel="0" collapsed="false">
      <c r="A13" s="33" t="s">
        <v>433</v>
      </c>
      <c r="B13" s="33" t="s">
        <v>434</v>
      </c>
      <c r="C13" s="33" t="s">
        <v>416</v>
      </c>
      <c r="D13" s="33" t="s">
        <v>435</v>
      </c>
      <c r="E13" s="33" t="s">
        <v>436</v>
      </c>
      <c r="F13" s="33"/>
      <c r="G13" s="33" t="s">
        <v>437</v>
      </c>
      <c r="H13" s="33" t="s">
        <v>438</v>
      </c>
    </row>
    <row r="14" customFormat="false" ht="15" hidden="false" customHeight="false" outlineLevel="0" collapsed="false">
      <c r="A14" s="36" t="s">
        <v>433</v>
      </c>
      <c r="B14" s="36" t="s">
        <v>439</v>
      </c>
      <c r="C14" s="36" t="s">
        <v>416</v>
      </c>
      <c r="D14" s="36" t="s">
        <v>440</v>
      </c>
      <c r="E14" s="36" t="s">
        <v>441</v>
      </c>
      <c r="F14" s="36"/>
      <c r="G14" s="36" t="s">
        <v>437</v>
      </c>
      <c r="H14" s="36" t="s">
        <v>442</v>
      </c>
    </row>
    <row r="15" customFormat="false" ht="15" hidden="false" customHeight="false" outlineLevel="0" collapsed="false">
      <c r="A15" s="33" t="s">
        <v>433</v>
      </c>
      <c r="B15" s="33" t="s">
        <v>443</v>
      </c>
      <c r="C15" s="33" t="s">
        <v>400</v>
      </c>
      <c r="D15" s="33" t="s">
        <v>444</v>
      </c>
      <c r="E15" s="33" t="s">
        <v>445</v>
      </c>
      <c r="F15" s="33" t="s">
        <v>446</v>
      </c>
      <c r="G15" s="33" t="s">
        <v>437</v>
      </c>
      <c r="H15" s="33" t="s">
        <v>447</v>
      </c>
    </row>
    <row r="16" customFormat="false" ht="15" hidden="false" customHeight="false" outlineLevel="0" collapsed="false">
      <c r="A16" s="36" t="s">
        <v>433</v>
      </c>
      <c r="B16" s="36" t="s">
        <v>437</v>
      </c>
      <c r="C16" s="36" t="s">
        <v>422</v>
      </c>
      <c r="D16" s="36" t="s">
        <v>448</v>
      </c>
      <c r="E16" s="36" t="s">
        <v>449</v>
      </c>
      <c r="F16" s="36"/>
      <c r="G16" s="36" t="s">
        <v>443</v>
      </c>
      <c r="H16" s="36" t="s">
        <v>450</v>
      </c>
    </row>
    <row r="17" customFormat="false" ht="15" hidden="false" customHeight="false" outlineLevel="0" collapsed="false">
      <c r="A17" s="33" t="s">
        <v>433</v>
      </c>
      <c r="B17" s="33" t="s">
        <v>451</v>
      </c>
      <c r="C17" s="33" t="s">
        <v>428</v>
      </c>
      <c r="D17" s="33" t="s">
        <v>452</v>
      </c>
      <c r="E17" s="33" t="s">
        <v>453</v>
      </c>
      <c r="F17" s="33"/>
      <c r="G17" s="33" t="s">
        <v>454</v>
      </c>
      <c r="H17" s="33" t="s">
        <v>455</v>
      </c>
    </row>
    <row r="18" customFormat="false" ht="15" hidden="false" customHeight="false" outlineLevel="0" collapsed="false">
      <c r="A18" s="36" t="s">
        <v>456</v>
      </c>
      <c r="B18" s="36" t="s">
        <v>457</v>
      </c>
      <c r="C18" s="36" t="s">
        <v>400</v>
      </c>
      <c r="D18" s="36" t="s">
        <v>458</v>
      </c>
      <c r="E18" s="36" t="s">
        <v>459</v>
      </c>
      <c r="F18" s="36" t="s">
        <v>413</v>
      </c>
      <c r="G18" s="36" t="s">
        <v>460</v>
      </c>
      <c r="H18" s="36" t="s">
        <v>461</v>
      </c>
    </row>
    <row r="19" customFormat="false" ht="15" hidden="false" customHeight="false" outlineLevel="0" collapsed="false">
      <c r="A19" s="33" t="s">
        <v>456</v>
      </c>
      <c r="B19" s="33" t="s">
        <v>462</v>
      </c>
      <c r="C19" s="33" t="s">
        <v>400</v>
      </c>
      <c r="D19" s="33" t="s">
        <v>463</v>
      </c>
      <c r="E19" s="33" t="s">
        <v>464</v>
      </c>
      <c r="F19" s="33" t="s">
        <v>118</v>
      </c>
      <c r="G19" s="33" t="s">
        <v>465</v>
      </c>
      <c r="H19" s="33" t="s">
        <v>466</v>
      </c>
    </row>
    <row r="20" customFormat="false" ht="15" hidden="false" customHeight="false" outlineLevel="0" collapsed="false">
      <c r="A20" s="36" t="s">
        <v>456</v>
      </c>
      <c r="B20" s="36" t="s">
        <v>467</v>
      </c>
      <c r="C20" s="36" t="s">
        <v>400</v>
      </c>
      <c r="D20" s="36" t="s">
        <v>468</v>
      </c>
      <c r="E20" s="36" t="s">
        <v>469</v>
      </c>
      <c r="F20" s="36" t="s">
        <v>470</v>
      </c>
      <c r="G20" s="36" t="s">
        <v>471</v>
      </c>
      <c r="H20" s="36" t="s">
        <v>472</v>
      </c>
    </row>
    <row r="21" customFormat="false" ht="15" hidden="false" customHeight="false" outlineLevel="0" collapsed="false">
      <c r="A21" s="33" t="s">
        <v>456</v>
      </c>
      <c r="B21" s="33" t="s">
        <v>473</v>
      </c>
      <c r="C21" s="33" t="s">
        <v>400</v>
      </c>
      <c r="D21" s="33" t="s">
        <v>474</v>
      </c>
      <c r="E21" s="33" t="s">
        <v>475</v>
      </c>
      <c r="F21" s="33" t="s">
        <v>476</v>
      </c>
      <c r="G21" s="33" t="s">
        <v>460</v>
      </c>
      <c r="H21" s="33" t="s">
        <v>461</v>
      </c>
    </row>
    <row r="22" customFormat="false" ht="22.35" hidden="false" customHeight="false" outlineLevel="0" collapsed="false">
      <c r="A22" s="36" t="s">
        <v>456</v>
      </c>
      <c r="B22" s="36" t="s">
        <v>465</v>
      </c>
      <c r="C22" s="36" t="s">
        <v>416</v>
      </c>
      <c r="D22" s="36" t="s">
        <v>477</v>
      </c>
      <c r="E22" s="36" t="s">
        <v>418</v>
      </c>
      <c r="F22" s="36"/>
      <c r="G22" s="36"/>
      <c r="H22" s="36" t="s">
        <v>466</v>
      </c>
    </row>
    <row r="23" customFormat="false" ht="15" hidden="false" customHeight="false" outlineLevel="0" collapsed="false">
      <c r="A23" s="33" t="s">
        <v>456</v>
      </c>
      <c r="B23" s="33" t="s">
        <v>471</v>
      </c>
      <c r="C23" s="33" t="s">
        <v>416</v>
      </c>
      <c r="D23" s="33" t="s">
        <v>478</v>
      </c>
      <c r="E23" s="33" t="s">
        <v>418</v>
      </c>
      <c r="F23" s="33"/>
      <c r="G23" s="33" t="s">
        <v>479</v>
      </c>
      <c r="H23" s="33" t="s">
        <v>480</v>
      </c>
    </row>
    <row r="24" customFormat="false" ht="15" hidden="false" customHeight="false" outlineLevel="0" collapsed="false">
      <c r="A24" s="36" t="s">
        <v>456</v>
      </c>
      <c r="B24" s="36" t="s">
        <v>479</v>
      </c>
      <c r="C24" s="36" t="s">
        <v>422</v>
      </c>
      <c r="D24" s="36" t="s">
        <v>481</v>
      </c>
      <c r="E24" s="36" t="s">
        <v>482</v>
      </c>
      <c r="F24" s="36"/>
      <c r="G24" s="36" t="s">
        <v>457</v>
      </c>
      <c r="H24" s="36" t="s">
        <v>483</v>
      </c>
    </row>
    <row r="25" customFormat="false" ht="22.35" hidden="false" customHeight="false" outlineLevel="0" collapsed="false">
      <c r="A25" s="33" t="s">
        <v>456</v>
      </c>
      <c r="B25" s="33" t="s">
        <v>484</v>
      </c>
      <c r="C25" s="33" t="s">
        <v>428</v>
      </c>
      <c r="D25" s="33" t="s">
        <v>485</v>
      </c>
      <c r="E25" s="33" t="s">
        <v>486</v>
      </c>
      <c r="F25" s="33"/>
      <c r="G25" s="33" t="s">
        <v>487</v>
      </c>
      <c r="H25" s="33" t="s">
        <v>488</v>
      </c>
    </row>
    <row r="26" customFormat="false" ht="15" hidden="false" customHeight="false" outlineLevel="0" collapsed="false">
      <c r="A26" s="36" t="s">
        <v>489</v>
      </c>
      <c r="B26" s="36" t="s">
        <v>490</v>
      </c>
      <c r="C26" s="36" t="s">
        <v>491</v>
      </c>
      <c r="D26" s="36" t="s">
        <v>492</v>
      </c>
      <c r="E26" s="36" t="s">
        <v>493</v>
      </c>
      <c r="F26" s="36"/>
      <c r="G26" s="36" t="s">
        <v>494</v>
      </c>
      <c r="H26" s="36" t="s">
        <v>495</v>
      </c>
    </row>
    <row r="27" customFormat="false" ht="22.35" hidden="false" customHeight="false" outlineLevel="0" collapsed="false">
      <c r="A27" s="33" t="s">
        <v>489</v>
      </c>
      <c r="B27" s="33" t="s">
        <v>496</v>
      </c>
      <c r="C27" s="33" t="s">
        <v>491</v>
      </c>
      <c r="D27" s="33" t="s">
        <v>497</v>
      </c>
      <c r="E27" s="33" t="s">
        <v>498</v>
      </c>
      <c r="F27" s="33"/>
      <c r="G27" s="33" t="s">
        <v>499</v>
      </c>
      <c r="H27" s="33" t="s">
        <v>500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24"/>
    <col collapsed="false" customWidth="true" hidden="false" outlineLevel="0" max="4" min="4" style="0" width="11"/>
    <col collapsed="false" customWidth="true" hidden="false" outlineLevel="0" max="5" min="5" style="0" width="50"/>
    <col collapsed="false" customWidth="true" hidden="false" outlineLevel="0" max="6" min="6" style="0" width="20"/>
    <col collapsed="false" customWidth="true" hidden="false" outlineLevel="0" max="7" min="7" style="0" width="24"/>
    <col collapsed="false" customWidth="true" hidden="false" outlineLevel="0" max="8" min="8" style="0" width="30"/>
  </cols>
  <sheetData>
    <row r="1" customFormat="false" ht="17.35" hidden="false" customHeight="false" outlineLevel="0" collapsed="false">
      <c r="A1" s="1" t="s">
        <v>501</v>
      </c>
    </row>
    <row r="2" customFormat="false" ht="15" hidden="false" customHeight="false" outlineLevel="0" collapsed="false">
      <c r="A2" s="2" t="s">
        <v>502</v>
      </c>
    </row>
    <row r="4" customFormat="false" ht="30" hidden="false" customHeight="true" outlineLevel="0" collapsed="false">
      <c r="A4" s="12" t="s">
        <v>273</v>
      </c>
      <c r="B4" s="12" t="s">
        <v>93</v>
      </c>
      <c r="C4" s="12" t="s">
        <v>503</v>
      </c>
      <c r="D4" s="12" t="s">
        <v>392</v>
      </c>
      <c r="E4" s="12" t="s">
        <v>504</v>
      </c>
      <c r="F4" s="12" t="s">
        <v>505</v>
      </c>
      <c r="G4" s="12" t="s">
        <v>506</v>
      </c>
      <c r="H4" s="12" t="s">
        <v>507</v>
      </c>
    </row>
    <row r="5" customFormat="false" ht="22.35" hidden="false" customHeight="false" outlineLevel="0" collapsed="false">
      <c r="A5" s="33" t="s">
        <v>415</v>
      </c>
      <c r="B5" s="33" t="s">
        <v>508</v>
      </c>
      <c r="C5" s="33" t="s">
        <v>509</v>
      </c>
      <c r="D5" s="33" t="s">
        <v>510</v>
      </c>
      <c r="E5" s="33" t="s">
        <v>511</v>
      </c>
      <c r="F5" s="33" t="s">
        <v>512</v>
      </c>
      <c r="G5" s="33" t="s">
        <v>513</v>
      </c>
      <c r="H5" s="33" t="s">
        <v>514</v>
      </c>
    </row>
    <row r="6" customFormat="false" ht="22.35" hidden="false" customHeight="false" outlineLevel="0" collapsed="false">
      <c r="A6" s="36" t="s">
        <v>442</v>
      </c>
      <c r="B6" s="36" t="s">
        <v>508</v>
      </c>
      <c r="C6" s="36" t="s">
        <v>515</v>
      </c>
      <c r="D6" s="36" t="s">
        <v>516</v>
      </c>
      <c r="E6" s="36" t="s">
        <v>517</v>
      </c>
      <c r="F6" s="36" t="s">
        <v>518</v>
      </c>
      <c r="G6" s="36" t="s">
        <v>519</v>
      </c>
      <c r="H6" s="36" t="s">
        <v>520</v>
      </c>
    </row>
    <row r="7" customFormat="false" ht="22.35" hidden="false" customHeight="false" outlineLevel="0" collapsed="false">
      <c r="A7" s="33" t="s">
        <v>521</v>
      </c>
      <c r="B7" s="33" t="s">
        <v>508</v>
      </c>
      <c r="C7" s="33" t="s">
        <v>522</v>
      </c>
      <c r="D7" s="33" t="s">
        <v>523</v>
      </c>
      <c r="E7" s="33" t="s">
        <v>524</v>
      </c>
      <c r="F7" s="33" t="s">
        <v>525</v>
      </c>
      <c r="G7" s="33" t="s">
        <v>526</v>
      </c>
      <c r="H7" s="33" t="s">
        <v>527</v>
      </c>
    </row>
    <row r="8" customFormat="false" ht="22.35" hidden="false" customHeight="false" outlineLevel="0" collapsed="false">
      <c r="A8" s="36" t="s">
        <v>472</v>
      </c>
      <c r="B8" s="36" t="s">
        <v>508</v>
      </c>
      <c r="C8" s="36" t="s">
        <v>528</v>
      </c>
      <c r="D8" s="36" t="s">
        <v>529</v>
      </c>
      <c r="E8" s="36" t="s">
        <v>530</v>
      </c>
      <c r="F8" s="36" t="s">
        <v>518</v>
      </c>
      <c r="G8" s="36" t="s">
        <v>531</v>
      </c>
      <c r="H8" s="36" t="s">
        <v>532</v>
      </c>
    </row>
    <row r="9" customFormat="false" ht="22.35" hidden="false" customHeight="false" outlineLevel="0" collapsed="false">
      <c r="A9" s="33" t="s">
        <v>466</v>
      </c>
      <c r="B9" s="33" t="s">
        <v>508</v>
      </c>
      <c r="C9" s="33" t="s">
        <v>533</v>
      </c>
      <c r="D9" s="33" t="s">
        <v>529</v>
      </c>
      <c r="E9" s="33" t="s">
        <v>534</v>
      </c>
      <c r="F9" s="33" t="s">
        <v>535</v>
      </c>
      <c r="G9" s="33" t="s">
        <v>536</v>
      </c>
      <c r="H9" s="33" t="s">
        <v>537</v>
      </c>
    </row>
    <row r="10" customFormat="false" ht="22.35" hidden="false" customHeight="false" outlineLevel="0" collapsed="false">
      <c r="A10" s="36" t="s">
        <v>538</v>
      </c>
      <c r="B10" s="36" t="s">
        <v>508</v>
      </c>
      <c r="C10" s="36" t="s">
        <v>539</v>
      </c>
      <c r="D10" s="36" t="s">
        <v>523</v>
      </c>
      <c r="E10" s="36" t="s">
        <v>540</v>
      </c>
      <c r="F10" s="36" t="s">
        <v>541</v>
      </c>
      <c r="G10" s="36" t="s">
        <v>542</v>
      </c>
      <c r="H10" s="36" t="s">
        <v>543</v>
      </c>
    </row>
    <row r="11" customFormat="false" ht="22.35" hidden="false" customHeight="false" outlineLevel="0" collapsed="false">
      <c r="A11" s="33" t="s">
        <v>544</v>
      </c>
      <c r="B11" s="33" t="s">
        <v>545</v>
      </c>
      <c r="C11" s="33" t="s">
        <v>546</v>
      </c>
      <c r="D11" s="33" t="s">
        <v>547</v>
      </c>
      <c r="E11" s="33" t="s">
        <v>548</v>
      </c>
      <c r="F11" s="33" t="s">
        <v>549</v>
      </c>
      <c r="G11" s="33" t="s">
        <v>550</v>
      </c>
      <c r="H11" s="33" t="s">
        <v>551</v>
      </c>
    </row>
    <row r="12" customFormat="false" ht="22.35" hidden="false" customHeight="false" outlineLevel="0" collapsed="false">
      <c r="A12" s="36" t="s">
        <v>552</v>
      </c>
      <c r="B12" s="36" t="s">
        <v>545</v>
      </c>
      <c r="C12" s="36" t="s">
        <v>553</v>
      </c>
      <c r="D12" s="36" t="s">
        <v>523</v>
      </c>
      <c r="E12" s="36" t="s">
        <v>554</v>
      </c>
      <c r="F12" s="36" t="s">
        <v>555</v>
      </c>
      <c r="G12" s="36" t="s">
        <v>556</v>
      </c>
      <c r="H12" s="36" t="s">
        <v>557</v>
      </c>
    </row>
    <row r="13" customFormat="false" ht="22.35" hidden="false" customHeight="false" outlineLevel="0" collapsed="false">
      <c r="A13" s="33" t="s">
        <v>558</v>
      </c>
      <c r="B13" s="33" t="s">
        <v>545</v>
      </c>
      <c r="C13" s="33" t="s">
        <v>559</v>
      </c>
      <c r="D13" s="33" t="s">
        <v>523</v>
      </c>
      <c r="E13" s="33" t="s">
        <v>560</v>
      </c>
      <c r="F13" s="33" t="s">
        <v>561</v>
      </c>
      <c r="G13" s="33" t="s">
        <v>542</v>
      </c>
      <c r="H13" s="33" t="s">
        <v>562</v>
      </c>
    </row>
    <row r="14" customFormat="false" ht="22.35" hidden="false" customHeight="false" outlineLevel="0" collapsed="false">
      <c r="A14" s="36" t="s">
        <v>563</v>
      </c>
      <c r="B14" s="36" t="s">
        <v>545</v>
      </c>
      <c r="C14" s="36" t="s">
        <v>564</v>
      </c>
      <c r="D14" s="36" t="s">
        <v>523</v>
      </c>
      <c r="E14" s="36" t="s">
        <v>565</v>
      </c>
      <c r="F14" s="36" t="s">
        <v>566</v>
      </c>
      <c r="G14" s="36" t="s">
        <v>567</v>
      </c>
      <c r="H14" s="36" t="s">
        <v>568</v>
      </c>
    </row>
    <row r="15" customFormat="false" ht="22.35" hidden="false" customHeight="false" outlineLevel="0" collapsed="false">
      <c r="A15" s="33" t="s">
        <v>569</v>
      </c>
      <c r="B15" s="33" t="s">
        <v>570</v>
      </c>
      <c r="C15" s="33" t="s">
        <v>571</v>
      </c>
      <c r="D15" s="33" t="s">
        <v>523</v>
      </c>
      <c r="E15" s="33" t="s">
        <v>572</v>
      </c>
      <c r="F15" s="33" t="s">
        <v>573</v>
      </c>
      <c r="G15" s="33" t="s">
        <v>574</v>
      </c>
      <c r="H15" s="33" t="s">
        <v>523</v>
      </c>
    </row>
    <row r="16" customFormat="false" ht="15" hidden="false" customHeight="false" outlineLevel="0" collapsed="false">
      <c r="A16" s="36" t="s">
        <v>575</v>
      </c>
      <c r="B16" s="36" t="s">
        <v>570</v>
      </c>
      <c r="C16" s="36" t="s">
        <v>576</v>
      </c>
      <c r="D16" s="36" t="s">
        <v>523</v>
      </c>
      <c r="E16" s="36" t="s">
        <v>577</v>
      </c>
      <c r="F16" s="36" t="s">
        <v>578</v>
      </c>
      <c r="G16" s="36" t="s">
        <v>579</v>
      </c>
      <c r="H16" s="36" t="s">
        <v>580</v>
      </c>
    </row>
    <row r="17" customFormat="false" ht="22.35" hidden="false" customHeight="false" outlineLevel="0" collapsed="false">
      <c r="A17" s="33" t="s">
        <v>581</v>
      </c>
      <c r="B17" s="33" t="s">
        <v>570</v>
      </c>
      <c r="C17" s="33" t="s">
        <v>582</v>
      </c>
      <c r="D17" s="33" t="s">
        <v>523</v>
      </c>
      <c r="E17" s="33" t="s">
        <v>583</v>
      </c>
      <c r="F17" s="33" t="s">
        <v>584</v>
      </c>
      <c r="G17" s="33" t="s">
        <v>585</v>
      </c>
      <c r="H17" s="33" t="s">
        <v>562</v>
      </c>
    </row>
    <row r="18" customFormat="false" ht="15" hidden="false" customHeight="false" outlineLevel="0" collapsed="false">
      <c r="A18" s="36" t="s">
        <v>500</v>
      </c>
      <c r="B18" s="36" t="s">
        <v>570</v>
      </c>
      <c r="C18" s="36" t="s">
        <v>586</v>
      </c>
      <c r="D18" s="36" t="s">
        <v>587</v>
      </c>
      <c r="E18" s="36" t="s">
        <v>588</v>
      </c>
      <c r="F18" s="36" t="s">
        <v>578</v>
      </c>
      <c r="G18" s="36" t="s">
        <v>496</v>
      </c>
      <c r="H18" s="36" t="s">
        <v>496</v>
      </c>
    </row>
    <row r="20" customFormat="false" ht="15" hidden="false" customHeight="false" outlineLevel="0" collapsed="false">
      <c r="A20" s="20" t="s">
        <v>589</v>
      </c>
    </row>
    <row r="21" customFormat="false" ht="30" hidden="false" customHeight="true" outlineLevel="0" collapsed="false">
      <c r="A21" s="12" t="s">
        <v>273</v>
      </c>
      <c r="B21" s="12" t="s">
        <v>590</v>
      </c>
      <c r="C21" s="12" t="s">
        <v>416</v>
      </c>
      <c r="D21" s="12" t="s">
        <v>591</v>
      </c>
      <c r="E21" s="12" t="s">
        <v>592</v>
      </c>
      <c r="F21" s="12" t="s">
        <v>593</v>
      </c>
    </row>
    <row r="22" customFormat="false" ht="22.35" hidden="false" customHeight="false" outlineLevel="0" collapsed="false">
      <c r="A22" s="33" t="s">
        <v>594</v>
      </c>
      <c r="B22" s="33" t="s">
        <v>595</v>
      </c>
      <c r="C22" s="33" t="s">
        <v>596</v>
      </c>
      <c r="D22" s="33" t="s">
        <v>597</v>
      </c>
      <c r="E22" s="33" t="s">
        <v>598</v>
      </c>
      <c r="F22" s="33" t="s">
        <v>266</v>
      </c>
    </row>
    <row r="23" customFormat="false" ht="22.35" hidden="false" customHeight="false" outlineLevel="0" collapsed="false">
      <c r="A23" s="36" t="s">
        <v>599</v>
      </c>
      <c r="B23" s="36" t="s">
        <v>600</v>
      </c>
      <c r="C23" s="36" t="s">
        <v>601</v>
      </c>
      <c r="D23" s="36" t="s">
        <v>602</v>
      </c>
      <c r="E23" s="36" t="s">
        <v>603</v>
      </c>
      <c r="F23" s="36" t="s">
        <v>269</v>
      </c>
    </row>
    <row r="24" customFormat="false" ht="22.35" hidden="false" customHeight="false" outlineLevel="0" collapsed="false">
      <c r="A24" s="33" t="s">
        <v>604</v>
      </c>
      <c r="B24" s="33" t="s">
        <v>605</v>
      </c>
      <c r="C24" s="33" t="s">
        <v>606</v>
      </c>
      <c r="D24" s="33" t="s">
        <v>602</v>
      </c>
      <c r="E24" s="33" t="s">
        <v>607</v>
      </c>
      <c r="F24" s="33" t="s">
        <v>266</v>
      </c>
    </row>
    <row r="25" customFormat="false" ht="22.35" hidden="false" customHeight="false" outlineLevel="0" collapsed="false">
      <c r="A25" s="36" t="s">
        <v>608</v>
      </c>
      <c r="B25" s="36" t="s">
        <v>609</v>
      </c>
      <c r="C25" s="36" t="s">
        <v>610</v>
      </c>
      <c r="D25" s="36" t="s">
        <v>597</v>
      </c>
      <c r="E25" s="36" t="s">
        <v>607</v>
      </c>
      <c r="F25" s="36" t="s">
        <v>266</v>
      </c>
    </row>
    <row r="26" customFormat="false" ht="22.35" hidden="false" customHeight="false" outlineLevel="0" collapsed="false">
      <c r="A26" s="33" t="s">
        <v>611</v>
      </c>
      <c r="B26" s="33" t="s">
        <v>612</v>
      </c>
      <c r="C26" s="33" t="s">
        <v>613</v>
      </c>
      <c r="D26" s="33" t="s">
        <v>614</v>
      </c>
      <c r="E26" s="33" t="s">
        <v>615</v>
      </c>
      <c r="F26" s="33" t="s">
        <v>269</v>
      </c>
    </row>
    <row r="27" customFormat="false" ht="15" hidden="false" customHeight="false" outlineLevel="0" collapsed="false">
      <c r="A27" s="36" t="s">
        <v>616</v>
      </c>
      <c r="B27" s="36" t="s">
        <v>617</v>
      </c>
      <c r="C27" s="36" t="s">
        <v>618</v>
      </c>
      <c r="D27" s="36" t="s">
        <v>602</v>
      </c>
      <c r="E27" s="36" t="s">
        <v>615</v>
      </c>
      <c r="F27" s="36" t="s">
        <v>269</v>
      </c>
    </row>
    <row r="28" customFormat="false" ht="32.8" hidden="false" customHeight="false" outlineLevel="0" collapsed="false">
      <c r="A28" s="33" t="s">
        <v>619</v>
      </c>
      <c r="B28" s="33" t="s">
        <v>620</v>
      </c>
      <c r="C28" s="33" t="s">
        <v>621</v>
      </c>
      <c r="D28" s="33" t="s">
        <v>602</v>
      </c>
      <c r="E28" s="33" t="s">
        <v>615</v>
      </c>
      <c r="F28" s="33" t="s">
        <v>269</v>
      </c>
    </row>
    <row r="29" customFormat="false" ht="22.35" hidden="false" customHeight="false" outlineLevel="0" collapsed="false">
      <c r="A29" s="36" t="s">
        <v>622</v>
      </c>
      <c r="B29" s="36" t="s">
        <v>623</v>
      </c>
      <c r="C29" s="36" t="s">
        <v>624</v>
      </c>
      <c r="D29" s="36" t="s">
        <v>602</v>
      </c>
      <c r="E29" s="36" t="s">
        <v>625</v>
      </c>
      <c r="F29" s="36" t="s">
        <v>269</v>
      </c>
    </row>
    <row r="30" customFormat="false" ht="22.35" hidden="false" customHeight="false" outlineLevel="0" collapsed="false">
      <c r="A30" s="33" t="s">
        <v>626</v>
      </c>
      <c r="B30" s="33" t="s">
        <v>627</v>
      </c>
      <c r="C30" s="33" t="s">
        <v>628</v>
      </c>
      <c r="D30" s="33" t="s">
        <v>614</v>
      </c>
      <c r="E30" s="33" t="s">
        <v>629</v>
      </c>
      <c r="F30" s="33" t="s">
        <v>269</v>
      </c>
    </row>
    <row r="31" customFormat="false" ht="22.35" hidden="false" customHeight="false" outlineLevel="0" collapsed="false">
      <c r="A31" s="36" t="s">
        <v>630</v>
      </c>
      <c r="B31" s="36" t="s">
        <v>631</v>
      </c>
      <c r="C31" s="36" t="s">
        <v>632</v>
      </c>
      <c r="D31" s="36" t="s">
        <v>602</v>
      </c>
      <c r="E31" s="36" t="s">
        <v>633</v>
      </c>
      <c r="F31" s="36" t="s">
        <v>269</v>
      </c>
    </row>
    <row r="32" customFormat="false" ht="15" hidden="false" customHeight="false" outlineLevel="0" collapsed="false">
      <c r="A32" s="33" t="s">
        <v>634</v>
      </c>
      <c r="B32" s="33" t="s">
        <v>635</v>
      </c>
      <c r="C32" s="33" t="s">
        <v>636</v>
      </c>
      <c r="D32" s="33" t="s">
        <v>597</v>
      </c>
      <c r="E32" s="33" t="s">
        <v>637</v>
      </c>
      <c r="F32" s="33" t="s">
        <v>269</v>
      </c>
    </row>
    <row r="33" customFormat="false" ht="22.35" hidden="false" customHeight="false" outlineLevel="0" collapsed="false">
      <c r="A33" s="36" t="s">
        <v>638</v>
      </c>
      <c r="B33" s="36" t="s">
        <v>639</v>
      </c>
      <c r="C33" s="36" t="s">
        <v>640</v>
      </c>
      <c r="D33" s="36" t="s">
        <v>602</v>
      </c>
      <c r="E33" s="36" t="s">
        <v>641</v>
      </c>
      <c r="F33" s="36" t="s">
        <v>269</v>
      </c>
    </row>
    <row r="34" customFormat="false" ht="22.35" hidden="false" customHeight="false" outlineLevel="0" collapsed="false">
      <c r="A34" s="33" t="s">
        <v>642</v>
      </c>
      <c r="B34" s="33" t="s">
        <v>643</v>
      </c>
      <c r="C34" s="33" t="s">
        <v>644</v>
      </c>
      <c r="D34" s="33" t="s">
        <v>602</v>
      </c>
      <c r="E34" s="33" t="s">
        <v>607</v>
      </c>
      <c r="F34" s="33"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34"/>
    <col collapsed="false" customWidth="true" hidden="false" outlineLevel="0" max="5" min="4" style="0" width="16"/>
    <col collapsed="false" customWidth="true" hidden="false" outlineLevel="0" max="6" min="6" style="0" width="10"/>
    <col collapsed="false" customWidth="true" hidden="false" outlineLevel="0" max="7" min="7" style="0" width="40"/>
    <col collapsed="false" customWidth="true" hidden="false" outlineLevel="0" max="8" min="8" style="0" width="16"/>
    <col collapsed="false" customWidth="true" hidden="false" outlineLevel="0" max="9" min="9" style="0" width="9"/>
    <col collapsed="false" customWidth="true" hidden="false" outlineLevel="0" max="11" min="10" style="0" width="34"/>
    <col collapsed="false" customWidth="true" hidden="false" outlineLevel="0" max="12" min="12" style="0" width="16"/>
    <col collapsed="false" customWidth="true" hidden="false" outlineLevel="0" max="13" min="13" style="0" width="9"/>
    <col collapsed="false" customWidth="true" hidden="false" outlineLevel="0" max="14" min="14" style="0" width="28"/>
  </cols>
  <sheetData>
    <row r="1" customFormat="false" ht="17.35" hidden="false" customHeight="false" outlineLevel="0" collapsed="false">
      <c r="A1" s="1" t="s">
        <v>645</v>
      </c>
    </row>
    <row r="2" customFormat="false" ht="15" hidden="false" customHeight="false" outlineLevel="0" collapsed="false">
      <c r="A2" s="2" t="s">
        <v>646</v>
      </c>
    </row>
    <row r="4" customFormat="false" ht="30" hidden="false" customHeight="true" outlineLevel="0" collapsed="false">
      <c r="A4" s="12" t="s">
        <v>647</v>
      </c>
      <c r="B4" s="12" t="s">
        <v>648</v>
      </c>
      <c r="C4" s="12" t="s">
        <v>649</v>
      </c>
      <c r="D4" s="12" t="s">
        <v>650</v>
      </c>
      <c r="E4" s="39" t="s">
        <v>651</v>
      </c>
      <c r="F4" s="39" t="s">
        <v>652</v>
      </c>
      <c r="G4" s="39" t="s">
        <v>653</v>
      </c>
      <c r="H4" s="39" t="s">
        <v>654</v>
      </c>
      <c r="I4" s="39" t="s">
        <v>655</v>
      </c>
      <c r="J4" s="39" t="s">
        <v>656</v>
      </c>
      <c r="K4" s="39" t="s">
        <v>657</v>
      </c>
      <c r="L4" s="39" t="s">
        <v>658</v>
      </c>
      <c r="M4" s="39" t="s">
        <v>10</v>
      </c>
      <c r="N4" s="39" t="s">
        <v>659</v>
      </c>
    </row>
    <row r="5" customFormat="false" ht="22.35" hidden="false" customHeight="false" outlineLevel="0" collapsed="false">
      <c r="A5" s="33" t="s">
        <v>660</v>
      </c>
      <c r="B5" s="33" t="s">
        <v>285</v>
      </c>
      <c r="C5" s="33" t="s">
        <v>661</v>
      </c>
      <c r="D5" s="33" t="s">
        <v>662</v>
      </c>
      <c r="E5" s="40" t="s">
        <v>663</v>
      </c>
      <c r="F5" s="40" t="s">
        <v>664</v>
      </c>
      <c r="G5" s="40" t="s">
        <v>665</v>
      </c>
      <c r="H5" s="40" t="s">
        <v>666</v>
      </c>
      <c r="I5" s="40" t="s">
        <v>667</v>
      </c>
      <c r="J5" s="40" t="s">
        <v>668</v>
      </c>
      <c r="K5" s="40" t="s">
        <v>669</v>
      </c>
      <c r="L5" s="40" t="s">
        <v>670</v>
      </c>
      <c r="M5" s="40" t="s">
        <v>86</v>
      </c>
      <c r="N5" s="40" t="s">
        <v>671</v>
      </c>
    </row>
    <row r="6" customFormat="false" ht="22.35" hidden="false" customHeight="false" outlineLevel="0" collapsed="false">
      <c r="A6" s="36" t="s">
        <v>672</v>
      </c>
      <c r="B6" s="36" t="s">
        <v>285</v>
      </c>
      <c r="C6" s="36" t="s">
        <v>673</v>
      </c>
      <c r="D6" s="36" t="s">
        <v>410</v>
      </c>
      <c r="E6" s="40" t="s">
        <v>663</v>
      </c>
      <c r="F6" s="40" t="s">
        <v>664</v>
      </c>
      <c r="G6" s="40" t="s">
        <v>674</v>
      </c>
      <c r="H6" s="40" t="s">
        <v>675</v>
      </c>
      <c r="I6" s="40" t="s">
        <v>667</v>
      </c>
      <c r="J6" s="40" t="s">
        <v>676</v>
      </c>
      <c r="K6" s="40" t="s">
        <v>677</v>
      </c>
      <c r="L6" s="40" t="s">
        <v>670</v>
      </c>
      <c r="M6" s="40" t="s">
        <v>85</v>
      </c>
      <c r="N6" s="40" t="s">
        <v>678</v>
      </c>
    </row>
    <row r="7" customFormat="false" ht="32.8" hidden="false" customHeight="false" outlineLevel="0" collapsed="false">
      <c r="A7" s="33" t="s">
        <v>679</v>
      </c>
      <c r="B7" s="33" t="s">
        <v>285</v>
      </c>
      <c r="C7" s="33" t="s">
        <v>680</v>
      </c>
      <c r="D7" s="33" t="s">
        <v>454</v>
      </c>
      <c r="E7" s="40" t="s">
        <v>681</v>
      </c>
      <c r="F7" s="40" t="s">
        <v>664</v>
      </c>
      <c r="G7" s="40" t="s">
        <v>682</v>
      </c>
      <c r="H7" s="40" t="s">
        <v>683</v>
      </c>
      <c r="I7" s="40" t="s">
        <v>667</v>
      </c>
      <c r="J7" s="40" t="s">
        <v>684</v>
      </c>
      <c r="K7" s="40" t="s">
        <v>685</v>
      </c>
      <c r="L7" s="40" t="s">
        <v>670</v>
      </c>
      <c r="M7" s="40" t="s">
        <v>85</v>
      </c>
      <c r="N7" s="40" t="s">
        <v>686</v>
      </c>
    </row>
    <row r="8" customFormat="false" ht="22.35" hidden="false" customHeight="false" outlineLevel="0" collapsed="false">
      <c r="A8" s="36" t="s">
        <v>687</v>
      </c>
      <c r="B8" s="36" t="s">
        <v>285</v>
      </c>
      <c r="C8" s="36" t="s">
        <v>688</v>
      </c>
      <c r="D8" s="36" t="s">
        <v>427</v>
      </c>
      <c r="E8" s="40" t="s">
        <v>689</v>
      </c>
      <c r="F8" s="40" t="s">
        <v>664</v>
      </c>
      <c r="G8" s="40" t="s">
        <v>690</v>
      </c>
      <c r="H8" s="40" t="s">
        <v>691</v>
      </c>
      <c r="I8" s="40" t="s">
        <v>667</v>
      </c>
      <c r="J8" s="40" t="s">
        <v>692</v>
      </c>
      <c r="K8" s="40" t="s">
        <v>693</v>
      </c>
      <c r="L8" s="40" t="s">
        <v>670</v>
      </c>
      <c r="M8" s="40" t="s">
        <v>85</v>
      </c>
      <c r="N8" s="40" t="s">
        <v>694</v>
      </c>
    </row>
    <row r="9" customFormat="false" ht="22.35" hidden="false" customHeight="false" outlineLevel="0" collapsed="false">
      <c r="A9" s="33" t="s">
        <v>695</v>
      </c>
      <c r="B9" s="33" t="s">
        <v>293</v>
      </c>
      <c r="C9" s="33" t="s">
        <v>696</v>
      </c>
      <c r="D9" s="33" t="s">
        <v>697</v>
      </c>
      <c r="E9" s="40" t="s">
        <v>663</v>
      </c>
      <c r="F9" s="40" t="s">
        <v>664</v>
      </c>
      <c r="G9" s="40" t="s">
        <v>698</v>
      </c>
      <c r="H9" s="40" t="s">
        <v>699</v>
      </c>
      <c r="I9" s="40" t="s">
        <v>667</v>
      </c>
      <c r="J9" s="40" t="s">
        <v>700</v>
      </c>
      <c r="K9" s="40" t="s">
        <v>701</v>
      </c>
      <c r="L9" s="40" t="s">
        <v>670</v>
      </c>
      <c r="M9" s="40" t="s">
        <v>85</v>
      </c>
      <c r="N9" s="40" t="s">
        <v>702</v>
      </c>
    </row>
    <row r="10" customFormat="false" ht="22.35" hidden="false" customHeight="false" outlineLevel="0" collapsed="false">
      <c r="A10" s="36" t="s">
        <v>703</v>
      </c>
      <c r="B10" s="36" t="s">
        <v>293</v>
      </c>
      <c r="C10" s="36" t="s">
        <v>704</v>
      </c>
      <c r="D10" s="36" t="s">
        <v>705</v>
      </c>
      <c r="E10" s="40" t="s">
        <v>663</v>
      </c>
      <c r="F10" s="40" t="s">
        <v>664</v>
      </c>
      <c r="G10" s="40" t="s">
        <v>706</v>
      </c>
      <c r="H10" s="40" t="s">
        <v>707</v>
      </c>
      <c r="I10" s="40" t="s">
        <v>85</v>
      </c>
      <c r="J10" s="40" t="s">
        <v>708</v>
      </c>
      <c r="K10" s="40" t="s">
        <v>709</v>
      </c>
      <c r="L10" s="40" t="s">
        <v>670</v>
      </c>
      <c r="M10" s="40" t="s">
        <v>86</v>
      </c>
      <c r="N10" s="40" t="s">
        <v>710</v>
      </c>
    </row>
    <row r="11" customFormat="false" ht="22.35" hidden="false" customHeight="false" outlineLevel="0" collapsed="false">
      <c r="A11" s="33" t="s">
        <v>711</v>
      </c>
      <c r="B11" s="33" t="s">
        <v>293</v>
      </c>
      <c r="C11" s="33" t="s">
        <v>712</v>
      </c>
      <c r="D11" s="33" t="s">
        <v>713</v>
      </c>
      <c r="E11" s="40" t="s">
        <v>663</v>
      </c>
      <c r="F11" s="40" t="s">
        <v>664</v>
      </c>
      <c r="G11" s="40" t="s">
        <v>714</v>
      </c>
      <c r="H11" s="40" t="s">
        <v>715</v>
      </c>
      <c r="I11" s="40" t="s">
        <v>667</v>
      </c>
      <c r="J11" s="40" t="s">
        <v>716</v>
      </c>
      <c r="K11" s="40" t="s">
        <v>717</v>
      </c>
      <c r="L11" s="40" t="s">
        <v>670</v>
      </c>
      <c r="M11" s="40" t="s">
        <v>85</v>
      </c>
      <c r="N11" s="40" t="s">
        <v>718</v>
      </c>
    </row>
    <row r="12" customFormat="false" ht="22.35" hidden="false" customHeight="false" outlineLevel="0" collapsed="false">
      <c r="A12" s="36" t="s">
        <v>719</v>
      </c>
      <c r="B12" s="36" t="s">
        <v>293</v>
      </c>
      <c r="C12" s="36" t="s">
        <v>720</v>
      </c>
      <c r="D12" s="36" t="s">
        <v>721</v>
      </c>
      <c r="E12" s="40" t="s">
        <v>722</v>
      </c>
      <c r="F12" s="40" t="s">
        <v>664</v>
      </c>
      <c r="G12" s="40" t="s">
        <v>723</v>
      </c>
      <c r="H12" s="40" t="s">
        <v>724</v>
      </c>
      <c r="I12" s="40" t="s">
        <v>85</v>
      </c>
      <c r="J12" s="40" t="s">
        <v>725</v>
      </c>
      <c r="K12" s="40" t="s">
        <v>726</v>
      </c>
      <c r="L12" s="40" t="s">
        <v>670</v>
      </c>
      <c r="M12" s="40" t="s">
        <v>85</v>
      </c>
      <c r="N12" s="40" t="s">
        <v>727</v>
      </c>
    </row>
    <row r="13" customFormat="false" ht="22.35" hidden="false" customHeight="false" outlineLevel="0" collapsed="false">
      <c r="A13" s="33" t="s">
        <v>728</v>
      </c>
      <c r="B13" s="33" t="s">
        <v>299</v>
      </c>
      <c r="C13" s="33" t="s">
        <v>729</v>
      </c>
      <c r="D13" s="33" t="s">
        <v>662</v>
      </c>
      <c r="E13" s="40" t="s">
        <v>730</v>
      </c>
      <c r="F13" s="40" t="s">
        <v>731</v>
      </c>
      <c r="G13" s="40" t="s">
        <v>732</v>
      </c>
      <c r="H13" s="40"/>
      <c r="I13" s="40"/>
      <c r="J13" s="40"/>
      <c r="K13" s="40" t="s">
        <v>733</v>
      </c>
      <c r="L13" s="40" t="s">
        <v>670</v>
      </c>
      <c r="M13" s="40" t="s">
        <v>86</v>
      </c>
      <c r="N13" s="40" t="s">
        <v>734</v>
      </c>
    </row>
    <row r="14" customFormat="false" ht="32.8" hidden="false" customHeight="false" outlineLevel="0" collapsed="false">
      <c r="A14" s="36" t="s">
        <v>735</v>
      </c>
      <c r="B14" s="36" t="s">
        <v>299</v>
      </c>
      <c r="C14" s="36" t="s">
        <v>736</v>
      </c>
      <c r="D14" s="36" t="s">
        <v>737</v>
      </c>
      <c r="E14" s="40" t="s">
        <v>738</v>
      </c>
      <c r="F14" s="40" t="s">
        <v>664</v>
      </c>
      <c r="G14" s="40" t="s">
        <v>739</v>
      </c>
      <c r="H14" s="40"/>
      <c r="I14" s="40" t="s">
        <v>667</v>
      </c>
      <c r="J14" s="40" t="s">
        <v>740</v>
      </c>
      <c r="K14" s="40" t="s">
        <v>741</v>
      </c>
      <c r="L14" s="40" t="s">
        <v>670</v>
      </c>
      <c r="M14" s="40" t="s">
        <v>84</v>
      </c>
      <c r="N14" s="40" t="s">
        <v>742</v>
      </c>
    </row>
    <row r="15" customFormat="false" ht="32.8" hidden="false" customHeight="false" outlineLevel="0" collapsed="false">
      <c r="A15" s="33" t="s">
        <v>743</v>
      </c>
      <c r="B15" s="33" t="s">
        <v>299</v>
      </c>
      <c r="C15" s="33" t="s">
        <v>744</v>
      </c>
      <c r="D15" s="33" t="s">
        <v>745</v>
      </c>
      <c r="E15" s="40" t="s">
        <v>689</v>
      </c>
      <c r="F15" s="40" t="s">
        <v>664</v>
      </c>
      <c r="G15" s="40" t="s">
        <v>746</v>
      </c>
      <c r="H15" s="40" t="s">
        <v>747</v>
      </c>
      <c r="I15" s="40" t="s">
        <v>667</v>
      </c>
      <c r="J15" s="40" t="s">
        <v>748</v>
      </c>
      <c r="K15" s="40" t="s">
        <v>749</v>
      </c>
      <c r="L15" s="40" t="s">
        <v>670</v>
      </c>
      <c r="M15" s="40" t="s">
        <v>84</v>
      </c>
      <c r="N15" s="40" t="s">
        <v>750</v>
      </c>
    </row>
    <row r="16" customFormat="false" ht="22.35" hidden="false" customHeight="false" outlineLevel="0" collapsed="false">
      <c r="A16" s="36" t="s">
        <v>751</v>
      </c>
      <c r="B16" s="36" t="s">
        <v>299</v>
      </c>
      <c r="C16" s="36" t="s">
        <v>752</v>
      </c>
      <c r="D16" s="36" t="s">
        <v>753</v>
      </c>
      <c r="E16" s="40" t="s">
        <v>754</v>
      </c>
      <c r="F16" s="40" t="s">
        <v>664</v>
      </c>
      <c r="G16" s="40" t="s">
        <v>755</v>
      </c>
      <c r="H16" s="40"/>
      <c r="I16" s="40" t="s">
        <v>667</v>
      </c>
      <c r="J16" s="40" t="s">
        <v>756</v>
      </c>
      <c r="K16" s="40" t="s">
        <v>757</v>
      </c>
      <c r="L16" s="40" t="s">
        <v>670</v>
      </c>
      <c r="M16" s="40" t="s">
        <v>86</v>
      </c>
      <c r="N16" s="40" t="s">
        <v>758</v>
      </c>
    </row>
    <row r="17" customFormat="false" ht="22.35" hidden="false" customHeight="false" outlineLevel="0" collapsed="false">
      <c r="A17" s="33" t="s">
        <v>759</v>
      </c>
      <c r="B17" s="33" t="s">
        <v>303</v>
      </c>
      <c r="C17" s="33" t="s">
        <v>760</v>
      </c>
      <c r="D17" s="33" t="s">
        <v>761</v>
      </c>
      <c r="E17" s="40" t="s">
        <v>689</v>
      </c>
      <c r="F17" s="40" t="s">
        <v>664</v>
      </c>
      <c r="G17" s="40" t="s">
        <v>762</v>
      </c>
      <c r="H17" s="40" t="s">
        <v>763</v>
      </c>
      <c r="I17" s="40" t="s">
        <v>667</v>
      </c>
      <c r="J17" s="40" t="s">
        <v>764</v>
      </c>
      <c r="K17" s="40" t="s">
        <v>765</v>
      </c>
      <c r="L17" s="40" t="s">
        <v>766</v>
      </c>
      <c r="M17" s="40" t="s">
        <v>84</v>
      </c>
      <c r="N17" s="40" t="s">
        <v>767</v>
      </c>
    </row>
    <row r="18" customFormat="false" ht="22.35" hidden="false" customHeight="false" outlineLevel="0" collapsed="false">
      <c r="A18" s="36" t="s">
        <v>768</v>
      </c>
      <c r="B18" s="36" t="s">
        <v>303</v>
      </c>
      <c r="C18" s="36" t="s">
        <v>769</v>
      </c>
      <c r="D18" s="36" t="s">
        <v>770</v>
      </c>
      <c r="E18" s="40" t="s">
        <v>663</v>
      </c>
      <c r="F18" s="40" t="s">
        <v>664</v>
      </c>
      <c r="G18" s="40" t="s">
        <v>771</v>
      </c>
      <c r="H18" s="40" t="s">
        <v>772</v>
      </c>
      <c r="I18" s="40" t="s">
        <v>667</v>
      </c>
      <c r="J18" s="40" t="s">
        <v>773</v>
      </c>
      <c r="K18" s="40" t="s">
        <v>774</v>
      </c>
      <c r="L18" s="40" t="s">
        <v>670</v>
      </c>
      <c r="M18" s="40" t="s">
        <v>85</v>
      </c>
      <c r="N18" s="40" t="s">
        <v>775</v>
      </c>
    </row>
    <row r="19" customFormat="false" ht="22.35" hidden="false" customHeight="false" outlineLevel="0" collapsed="false">
      <c r="A19" s="33" t="s">
        <v>776</v>
      </c>
      <c r="B19" s="33" t="s">
        <v>303</v>
      </c>
      <c r="C19" s="33" t="s">
        <v>777</v>
      </c>
      <c r="D19" s="33" t="s">
        <v>778</v>
      </c>
      <c r="E19" s="40" t="s">
        <v>779</v>
      </c>
      <c r="F19" s="40" t="s">
        <v>664</v>
      </c>
      <c r="G19" s="40" t="s">
        <v>780</v>
      </c>
      <c r="H19" s="40" t="s">
        <v>781</v>
      </c>
      <c r="I19" s="40" t="s">
        <v>85</v>
      </c>
      <c r="J19" s="40" t="s">
        <v>782</v>
      </c>
      <c r="K19" s="40" t="s">
        <v>783</v>
      </c>
      <c r="L19" s="40" t="s">
        <v>670</v>
      </c>
      <c r="M19" s="40" t="s">
        <v>85</v>
      </c>
      <c r="N19" s="40" t="s">
        <v>784</v>
      </c>
    </row>
    <row r="20" customFormat="false" ht="22.35" hidden="false" customHeight="false" outlineLevel="0" collapsed="false">
      <c r="A20" s="36" t="s">
        <v>785</v>
      </c>
      <c r="B20" s="36" t="s">
        <v>310</v>
      </c>
      <c r="C20" s="36" t="s">
        <v>786</v>
      </c>
      <c r="D20" s="36" t="s">
        <v>787</v>
      </c>
      <c r="E20" s="40" t="s">
        <v>730</v>
      </c>
      <c r="F20" s="40" t="s">
        <v>731</v>
      </c>
      <c r="G20" s="40" t="s">
        <v>732</v>
      </c>
      <c r="H20" s="40"/>
      <c r="I20" s="40"/>
      <c r="J20" s="40"/>
      <c r="K20" s="40" t="s">
        <v>788</v>
      </c>
      <c r="L20" s="40" t="s">
        <v>670</v>
      </c>
      <c r="M20" s="40" t="s">
        <v>86</v>
      </c>
      <c r="N20" s="40" t="s">
        <v>734</v>
      </c>
    </row>
    <row r="21" customFormat="false" ht="22.35" hidden="false" customHeight="false" outlineLevel="0" collapsed="false">
      <c r="A21" s="33" t="s">
        <v>789</v>
      </c>
      <c r="B21" s="33" t="s">
        <v>310</v>
      </c>
      <c r="C21" s="33" t="s">
        <v>790</v>
      </c>
      <c r="D21" s="33" t="s">
        <v>791</v>
      </c>
      <c r="E21" s="40" t="s">
        <v>792</v>
      </c>
      <c r="F21" s="40" t="s">
        <v>793</v>
      </c>
      <c r="G21" s="40" t="s">
        <v>794</v>
      </c>
      <c r="H21" s="40"/>
      <c r="I21" s="40" t="s">
        <v>85</v>
      </c>
      <c r="J21" s="40"/>
      <c r="K21" s="40" t="s">
        <v>795</v>
      </c>
      <c r="L21" s="40" t="s">
        <v>792</v>
      </c>
      <c r="M21" s="40" t="s">
        <v>85</v>
      </c>
      <c r="N21" s="40" t="s">
        <v>796</v>
      </c>
    </row>
    <row r="22" customFormat="false" ht="22.35" hidden="false" customHeight="false" outlineLevel="0" collapsed="false">
      <c r="A22" s="36" t="s">
        <v>797</v>
      </c>
      <c r="B22" s="36" t="s">
        <v>310</v>
      </c>
      <c r="C22" s="36" t="s">
        <v>798</v>
      </c>
      <c r="D22" s="36" t="s">
        <v>799</v>
      </c>
      <c r="E22" s="40" t="s">
        <v>792</v>
      </c>
      <c r="F22" s="40" t="s">
        <v>793</v>
      </c>
      <c r="G22" s="40" t="s">
        <v>800</v>
      </c>
      <c r="H22" s="40"/>
      <c r="I22" s="40" t="s">
        <v>85</v>
      </c>
      <c r="J22" s="40"/>
      <c r="K22" s="40" t="s">
        <v>801</v>
      </c>
      <c r="L22" s="40" t="s">
        <v>792</v>
      </c>
      <c r="M22" s="40" t="s">
        <v>84</v>
      </c>
      <c r="N22" s="40" t="s">
        <v>802</v>
      </c>
    </row>
    <row r="23" customFormat="false" ht="32.8" hidden="false" customHeight="false" outlineLevel="0" collapsed="false">
      <c r="A23" s="33" t="s">
        <v>803</v>
      </c>
      <c r="B23" s="33" t="s">
        <v>315</v>
      </c>
      <c r="C23" s="33" t="s">
        <v>804</v>
      </c>
      <c r="D23" s="33" t="s">
        <v>805</v>
      </c>
      <c r="E23" s="40" t="s">
        <v>663</v>
      </c>
      <c r="F23" s="40" t="s">
        <v>664</v>
      </c>
      <c r="G23" s="40" t="s">
        <v>806</v>
      </c>
      <c r="H23" s="40" t="s">
        <v>807</v>
      </c>
      <c r="I23" s="40" t="s">
        <v>667</v>
      </c>
      <c r="J23" s="40" t="s">
        <v>808</v>
      </c>
      <c r="K23" s="40" t="s">
        <v>809</v>
      </c>
      <c r="L23" s="40" t="s">
        <v>670</v>
      </c>
      <c r="M23" s="40" t="s">
        <v>85</v>
      </c>
      <c r="N23" s="40" t="s">
        <v>810</v>
      </c>
    </row>
    <row r="24" customFormat="false" ht="22.35" hidden="false" customHeight="false" outlineLevel="0" collapsed="false">
      <c r="A24" s="36" t="s">
        <v>811</v>
      </c>
      <c r="B24" s="36" t="s">
        <v>315</v>
      </c>
      <c r="C24" s="36" t="s">
        <v>812</v>
      </c>
      <c r="D24" s="36" t="s">
        <v>813</v>
      </c>
      <c r="E24" s="40" t="s">
        <v>779</v>
      </c>
      <c r="F24" s="40" t="s">
        <v>664</v>
      </c>
      <c r="G24" s="40" t="s">
        <v>814</v>
      </c>
      <c r="H24" s="40"/>
      <c r="I24" s="40" t="s">
        <v>85</v>
      </c>
      <c r="J24" s="40" t="s">
        <v>815</v>
      </c>
      <c r="K24" s="40" t="s">
        <v>816</v>
      </c>
      <c r="L24" s="40" t="s">
        <v>670</v>
      </c>
      <c r="M24" s="40" t="s">
        <v>85</v>
      </c>
      <c r="N24" s="40" t="s">
        <v>817</v>
      </c>
    </row>
    <row r="25" customFormat="false" ht="15" hidden="false" customHeight="false" outlineLevel="0" collapsed="false">
      <c r="A25" s="33" t="s">
        <v>818</v>
      </c>
      <c r="B25" s="33" t="s">
        <v>315</v>
      </c>
      <c r="C25" s="33" t="s">
        <v>819</v>
      </c>
      <c r="D25" s="33" t="s">
        <v>457</v>
      </c>
      <c r="E25" s="40" t="s">
        <v>730</v>
      </c>
      <c r="F25" s="40" t="s">
        <v>731</v>
      </c>
      <c r="G25" s="40" t="s">
        <v>732</v>
      </c>
      <c r="H25" s="40"/>
      <c r="I25" s="40"/>
      <c r="J25" s="40"/>
      <c r="K25" s="40" t="s">
        <v>820</v>
      </c>
      <c r="L25" s="40" t="s">
        <v>670</v>
      </c>
      <c r="M25" s="40" t="s">
        <v>86</v>
      </c>
      <c r="N25" s="40" t="s">
        <v>734</v>
      </c>
    </row>
    <row r="26" customFormat="false" ht="15" hidden="false" customHeight="false" outlineLevel="0" collapsed="false">
      <c r="A26" s="36" t="s">
        <v>821</v>
      </c>
      <c r="B26" s="36" t="s">
        <v>320</v>
      </c>
      <c r="C26" s="36" t="s">
        <v>822</v>
      </c>
      <c r="D26" s="36" t="s">
        <v>462</v>
      </c>
      <c r="E26" s="40" t="s">
        <v>730</v>
      </c>
      <c r="F26" s="40" t="s">
        <v>731</v>
      </c>
      <c r="G26" s="40" t="s">
        <v>732</v>
      </c>
      <c r="H26" s="40"/>
      <c r="I26" s="40"/>
      <c r="J26" s="40"/>
      <c r="K26" s="40" t="s">
        <v>823</v>
      </c>
      <c r="L26" s="40" t="s">
        <v>670</v>
      </c>
      <c r="M26" s="40" t="s">
        <v>86</v>
      </c>
      <c r="N26" s="40" t="s">
        <v>734</v>
      </c>
    </row>
    <row r="27" customFormat="false" ht="32.8" hidden="false" customHeight="false" outlineLevel="0" collapsed="false">
      <c r="A27" s="33" t="s">
        <v>824</v>
      </c>
      <c r="B27" s="33" t="s">
        <v>320</v>
      </c>
      <c r="C27" s="33" t="s">
        <v>825</v>
      </c>
      <c r="D27" s="33" t="s">
        <v>826</v>
      </c>
      <c r="E27" s="40" t="s">
        <v>738</v>
      </c>
      <c r="F27" s="40" t="s">
        <v>664</v>
      </c>
      <c r="G27" s="40" t="s">
        <v>827</v>
      </c>
      <c r="H27" s="40"/>
      <c r="I27" s="40" t="s">
        <v>667</v>
      </c>
      <c r="J27" s="40" t="s">
        <v>828</v>
      </c>
      <c r="K27" s="40" t="s">
        <v>829</v>
      </c>
      <c r="L27" s="40" t="s">
        <v>670</v>
      </c>
      <c r="M27" s="40" t="s">
        <v>84</v>
      </c>
      <c r="N27" s="40" t="s">
        <v>830</v>
      </c>
    </row>
    <row r="28" customFormat="false" ht="43.25" hidden="false" customHeight="false" outlineLevel="0" collapsed="false">
      <c r="A28" s="36" t="s">
        <v>831</v>
      </c>
      <c r="B28" s="36" t="s">
        <v>320</v>
      </c>
      <c r="C28" s="36" t="s">
        <v>832</v>
      </c>
      <c r="D28" s="36" t="s">
        <v>753</v>
      </c>
      <c r="E28" s="40" t="s">
        <v>754</v>
      </c>
      <c r="F28" s="40" t="s">
        <v>664</v>
      </c>
      <c r="G28" s="40" t="s">
        <v>833</v>
      </c>
      <c r="H28" s="40"/>
      <c r="I28" s="40" t="s">
        <v>667</v>
      </c>
      <c r="J28" s="40" t="s">
        <v>834</v>
      </c>
      <c r="K28" s="40" t="s">
        <v>835</v>
      </c>
      <c r="L28" s="40" t="s">
        <v>836</v>
      </c>
      <c r="M28" s="40" t="s">
        <v>84</v>
      </c>
      <c r="N28" s="40" t="s">
        <v>837</v>
      </c>
    </row>
    <row r="29" customFormat="false" ht="22.35" hidden="false" customHeight="false" outlineLevel="0" collapsed="false">
      <c r="A29" s="33" t="s">
        <v>838</v>
      </c>
      <c r="B29" s="33" t="s">
        <v>325</v>
      </c>
      <c r="C29" s="33" t="s">
        <v>839</v>
      </c>
      <c r="D29" s="33" t="s">
        <v>427</v>
      </c>
      <c r="E29" s="40" t="s">
        <v>689</v>
      </c>
      <c r="F29" s="40" t="s">
        <v>664</v>
      </c>
      <c r="G29" s="40" t="s">
        <v>840</v>
      </c>
      <c r="H29" s="40" t="s">
        <v>841</v>
      </c>
      <c r="I29" s="40" t="s">
        <v>667</v>
      </c>
      <c r="J29" s="40" t="s">
        <v>842</v>
      </c>
      <c r="K29" s="40" t="s">
        <v>843</v>
      </c>
      <c r="L29" s="40" t="s">
        <v>670</v>
      </c>
      <c r="M29" s="40" t="s">
        <v>85</v>
      </c>
      <c r="N29" s="40" t="s">
        <v>844</v>
      </c>
    </row>
    <row r="30" customFormat="false" ht="22.35" hidden="false" customHeight="false" outlineLevel="0" collapsed="false">
      <c r="A30" s="36" t="s">
        <v>845</v>
      </c>
      <c r="B30" s="36" t="s">
        <v>325</v>
      </c>
      <c r="C30" s="36" t="s">
        <v>846</v>
      </c>
      <c r="D30" s="36" t="s">
        <v>705</v>
      </c>
      <c r="E30" s="40" t="s">
        <v>722</v>
      </c>
      <c r="F30" s="40" t="s">
        <v>664</v>
      </c>
      <c r="G30" s="40" t="s">
        <v>847</v>
      </c>
      <c r="H30" s="40" t="s">
        <v>707</v>
      </c>
      <c r="I30" s="40" t="s">
        <v>848</v>
      </c>
      <c r="J30" s="40" t="s">
        <v>849</v>
      </c>
      <c r="K30" s="40" t="s">
        <v>850</v>
      </c>
      <c r="L30" s="40" t="s">
        <v>670</v>
      </c>
      <c r="M30" s="40" t="s">
        <v>86</v>
      </c>
      <c r="N30" s="40" t="s">
        <v>851</v>
      </c>
    </row>
    <row r="31" customFormat="false" ht="22.35" hidden="false" customHeight="false" outlineLevel="0" collapsed="false">
      <c r="A31" s="33" t="s">
        <v>852</v>
      </c>
      <c r="B31" s="33" t="s">
        <v>325</v>
      </c>
      <c r="C31" s="33" t="s">
        <v>853</v>
      </c>
      <c r="D31" s="33" t="s">
        <v>854</v>
      </c>
      <c r="E31" s="40" t="s">
        <v>855</v>
      </c>
      <c r="F31" s="40" t="s">
        <v>664</v>
      </c>
      <c r="G31" s="40" t="s">
        <v>856</v>
      </c>
      <c r="H31" s="40"/>
      <c r="I31" s="40" t="s">
        <v>85</v>
      </c>
      <c r="J31" s="40" t="s">
        <v>857</v>
      </c>
      <c r="K31" s="40" t="s">
        <v>858</v>
      </c>
      <c r="L31" s="40" t="s">
        <v>670</v>
      </c>
      <c r="M31" s="40" t="s">
        <v>84</v>
      </c>
      <c r="N31" s="40" t="s">
        <v>859</v>
      </c>
    </row>
    <row r="32" customFormat="false" ht="32.8" hidden="false" customHeight="false" outlineLevel="0" collapsed="false">
      <c r="A32" s="36" t="s">
        <v>860</v>
      </c>
      <c r="B32" s="36" t="s">
        <v>310</v>
      </c>
      <c r="C32" s="36" t="s">
        <v>861</v>
      </c>
      <c r="D32" s="36" t="s">
        <v>862</v>
      </c>
      <c r="E32" s="40" t="s">
        <v>663</v>
      </c>
      <c r="F32" s="40" t="s">
        <v>664</v>
      </c>
      <c r="G32" s="40" t="s">
        <v>863</v>
      </c>
      <c r="H32" s="40" t="s">
        <v>864</v>
      </c>
      <c r="I32" s="40" t="s">
        <v>667</v>
      </c>
      <c r="J32" s="40" t="s">
        <v>865</v>
      </c>
      <c r="K32" s="40" t="s">
        <v>866</v>
      </c>
      <c r="L32" s="40" t="s">
        <v>670</v>
      </c>
      <c r="M32" s="40" t="s">
        <v>84</v>
      </c>
      <c r="N32" s="40" t="s">
        <v>867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26"/>
    <col collapsed="false" customWidth="true" hidden="false" outlineLevel="0" max="4" min="4" style="0" width="34"/>
    <col collapsed="false" customWidth="true" hidden="false" outlineLevel="0" max="5" min="5" style="0" width="30"/>
    <col collapsed="false" customWidth="true" hidden="false" outlineLevel="0" max="6" min="6" style="0" width="20"/>
    <col collapsed="false" customWidth="true" hidden="false" outlineLevel="0" max="7" min="7" style="0" width="12"/>
    <col collapsed="false" customWidth="true" hidden="false" outlineLevel="0" max="8" min="8" style="0" width="11"/>
    <col collapsed="false" customWidth="true" hidden="false" outlineLevel="0" max="9" min="9" style="0" width="40"/>
  </cols>
  <sheetData>
    <row r="1" customFormat="false" ht="17.35" hidden="false" customHeight="false" outlineLevel="0" collapsed="false">
      <c r="A1" s="1" t="s">
        <v>868</v>
      </c>
    </row>
    <row r="2" customFormat="false" ht="15" hidden="false" customHeight="false" outlineLevel="0" collapsed="false">
      <c r="A2" s="2" t="s">
        <v>869</v>
      </c>
    </row>
    <row r="4" customFormat="false" ht="30" hidden="false" customHeight="true" outlineLevel="0" collapsed="false">
      <c r="A4" s="12" t="s">
        <v>647</v>
      </c>
      <c r="B4" s="12" t="s">
        <v>648</v>
      </c>
      <c r="C4" s="12" t="s">
        <v>491</v>
      </c>
      <c r="D4" s="12" t="s">
        <v>870</v>
      </c>
      <c r="E4" s="12" t="s">
        <v>871</v>
      </c>
      <c r="F4" s="39" t="s">
        <v>872</v>
      </c>
      <c r="G4" s="39" t="s">
        <v>873</v>
      </c>
      <c r="H4" s="39" t="s">
        <v>874</v>
      </c>
      <c r="I4" s="39" t="s">
        <v>875</v>
      </c>
    </row>
    <row r="5" customFormat="false" ht="15" hidden="false" customHeight="false" outlineLevel="0" collapsed="false">
      <c r="A5" s="33" t="s">
        <v>876</v>
      </c>
      <c r="B5" s="33" t="s">
        <v>285</v>
      </c>
      <c r="C5" s="33" t="s">
        <v>877</v>
      </c>
      <c r="D5" s="33" t="s">
        <v>878</v>
      </c>
      <c r="E5" s="33" t="s">
        <v>879</v>
      </c>
      <c r="F5" s="40" t="s">
        <v>880</v>
      </c>
      <c r="G5" s="40" t="s">
        <v>881</v>
      </c>
      <c r="H5" s="40" t="s">
        <v>664</v>
      </c>
      <c r="I5" s="40" t="s">
        <v>882</v>
      </c>
    </row>
    <row r="6" customFormat="false" ht="15" hidden="false" customHeight="false" outlineLevel="0" collapsed="false">
      <c r="A6" s="36" t="s">
        <v>883</v>
      </c>
      <c r="B6" s="36" t="s">
        <v>285</v>
      </c>
      <c r="C6" s="36" t="s">
        <v>884</v>
      </c>
      <c r="D6" s="36" t="s">
        <v>885</v>
      </c>
      <c r="E6" s="36" t="s">
        <v>886</v>
      </c>
      <c r="F6" s="40" t="s">
        <v>880</v>
      </c>
      <c r="G6" s="40" t="s">
        <v>66</v>
      </c>
      <c r="H6" s="40" t="s">
        <v>731</v>
      </c>
      <c r="I6" s="40" t="s">
        <v>887</v>
      </c>
    </row>
    <row r="7" customFormat="false" ht="15" hidden="false" customHeight="false" outlineLevel="0" collapsed="false">
      <c r="A7" s="33" t="s">
        <v>888</v>
      </c>
      <c r="B7" s="33" t="s">
        <v>285</v>
      </c>
      <c r="C7" s="33" t="s">
        <v>889</v>
      </c>
      <c r="D7" s="33" t="s">
        <v>890</v>
      </c>
      <c r="E7" s="33" t="s">
        <v>891</v>
      </c>
      <c r="F7" s="40" t="s">
        <v>892</v>
      </c>
      <c r="G7" s="40" t="s">
        <v>881</v>
      </c>
      <c r="H7" s="40" t="s">
        <v>664</v>
      </c>
      <c r="I7" s="40" t="s">
        <v>893</v>
      </c>
    </row>
    <row r="8" customFormat="false" ht="15" hidden="false" customHeight="false" outlineLevel="0" collapsed="false">
      <c r="A8" s="36" t="s">
        <v>894</v>
      </c>
      <c r="B8" s="36" t="s">
        <v>285</v>
      </c>
      <c r="C8" s="36" t="s">
        <v>895</v>
      </c>
      <c r="D8" s="36" t="s">
        <v>896</v>
      </c>
      <c r="E8" s="36" t="s">
        <v>897</v>
      </c>
      <c r="F8" s="40" t="s">
        <v>898</v>
      </c>
      <c r="G8" s="40" t="s">
        <v>881</v>
      </c>
      <c r="H8" s="40" t="s">
        <v>664</v>
      </c>
      <c r="I8" s="40" t="s">
        <v>899</v>
      </c>
    </row>
    <row r="9" customFormat="false" ht="15" hidden="false" customHeight="false" outlineLevel="0" collapsed="false">
      <c r="A9" s="33" t="s">
        <v>900</v>
      </c>
      <c r="B9" s="33" t="s">
        <v>293</v>
      </c>
      <c r="C9" s="33" t="s">
        <v>901</v>
      </c>
      <c r="D9" s="33" t="s">
        <v>902</v>
      </c>
      <c r="E9" s="33" t="s">
        <v>903</v>
      </c>
      <c r="F9" s="40" t="s">
        <v>880</v>
      </c>
      <c r="G9" s="40" t="s">
        <v>881</v>
      </c>
      <c r="H9" s="40" t="s">
        <v>664</v>
      </c>
      <c r="I9" s="40" t="s">
        <v>904</v>
      </c>
    </row>
    <row r="10" customFormat="false" ht="15" hidden="false" customHeight="false" outlineLevel="0" collapsed="false">
      <c r="A10" s="36" t="s">
        <v>905</v>
      </c>
      <c r="B10" s="36" t="s">
        <v>293</v>
      </c>
      <c r="C10" s="36" t="s">
        <v>906</v>
      </c>
      <c r="D10" s="36" t="s">
        <v>418</v>
      </c>
      <c r="E10" s="36" t="s">
        <v>907</v>
      </c>
      <c r="F10" s="40" t="s">
        <v>880</v>
      </c>
      <c r="G10" s="40" t="s">
        <v>881</v>
      </c>
      <c r="H10" s="40" t="s">
        <v>664</v>
      </c>
      <c r="I10" s="40" t="s">
        <v>908</v>
      </c>
    </row>
    <row r="11" customFormat="false" ht="15" hidden="false" customHeight="false" outlineLevel="0" collapsed="false">
      <c r="A11" s="33" t="s">
        <v>909</v>
      </c>
      <c r="B11" s="33" t="s">
        <v>293</v>
      </c>
      <c r="C11" s="33" t="s">
        <v>910</v>
      </c>
      <c r="D11" s="33" t="s">
        <v>911</v>
      </c>
      <c r="E11" s="33" t="s">
        <v>912</v>
      </c>
      <c r="F11" s="40" t="s">
        <v>880</v>
      </c>
      <c r="G11" s="40" t="s">
        <v>881</v>
      </c>
      <c r="H11" s="40" t="s">
        <v>664</v>
      </c>
      <c r="I11" s="40" t="s">
        <v>913</v>
      </c>
    </row>
    <row r="12" customFormat="false" ht="22.35" hidden="false" customHeight="false" outlineLevel="0" collapsed="false">
      <c r="A12" s="36" t="s">
        <v>914</v>
      </c>
      <c r="B12" s="36" t="s">
        <v>299</v>
      </c>
      <c r="C12" s="36" t="s">
        <v>915</v>
      </c>
      <c r="D12" s="36" t="s">
        <v>916</v>
      </c>
      <c r="E12" s="36" t="s">
        <v>917</v>
      </c>
      <c r="F12" s="40" t="s">
        <v>918</v>
      </c>
      <c r="G12" s="40" t="s">
        <v>881</v>
      </c>
      <c r="H12" s="40" t="s">
        <v>664</v>
      </c>
      <c r="I12" s="40" t="s">
        <v>919</v>
      </c>
    </row>
    <row r="13" customFormat="false" ht="15" hidden="false" customHeight="false" outlineLevel="0" collapsed="false">
      <c r="A13" s="33" t="s">
        <v>920</v>
      </c>
      <c r="B13" s="33" t="s">
        <v>299</v>
      </c>
      <c r="C13" s="33" t="s">
        <v>921</v>
      </c>
      <c r="D13" s="33" t="s">
        <v>922</v>
      </c>
      <c r="E13" s="33" t="s">
        <v>923</v>
      </c>
      <c r="F13" s="40" t="s">
        <v>924</v>
      </c>
      <c r="G13" s="40" t="s">
        <v>925</v>
      </c>
      <c r="H13" s="40" t="s">
        <v>731</v>
      </c>
      <c r="I13" s="40" t="s">
        <v>926</v>
      </c>
    </row>
    <row r="14" customFormat="false" ht="15" hidden="false" customHeight="false" outlineLevel="0" collapsed="false">
      <c r="A14" s="36" t="s">
        <v>927</v>
      </c>
      <c r="B14" s="36" t="s">
        <v>299</v>
      </c>
      <c r="C14" s="36" t="s">
        <v>901</v>
      </c>
      <c r="D14" s="36" t="s">
        <v>928</v>
      </c>
      <c r="E14" s="36" t="s">
        <v>929</v>
      </c>
      <c r="F14" s="40" t="s">
        <v>880</v>
      </c>
      <c r="G14" s="40" t="s">
        <v>66</v>
      </c>
      <c r="H14" s="40" t="s">
        <v>731</v>
      </c>
      <c r="I14" s="40" t="s">
        <v>887</v>
      </c>
    </row>
    <row r="15" customFormat="false" ht="22.35" hidden="false" customHeight="false" outlineLevel="0" collapsed="false">
      <c r="A15" s="33" t="s">
        <v>930</v>
      </c>
      <c r="B15" s="33" t="s">
        <v>303</v>
      </c>
      <c r="C15" s="33" t="s">
        <v>931</v>
      </c>
      <c r="D15" s="33" t="s">
        <v>932</v>
      </c>
      <c r="E15" s="33" t="s">
        <v>933</v>
      </c>
      <c r="F15" s="40" t="s">
        <v>934</v>
      </c>
      <c r="G15" s="40" t="s">
        <v>925</v>
      </c>
      <c r="H15" s="40" t="s">
        <v>731</v>
      </c>
      <c r="I15" s="40" t="s">
        <v>935</v>
      </c>
    </row>
    <row r="16" customFormat="false" ht="15" hidden="false" customHeight="false" outlineLevel="0" collapsed="false">
      <c r="A16" s="36" t="s">
        <v>936</v>
      </c>
      <c r="B16" s="36" t="s">
        <v>303</v>
      </c>
      <c r="C16" s="36" t="s">
        <v>937</v>
      </c>
      <c r="D16" s="36" t="s">
        <v>938</v>
      </c>
      <c r="E16" s="36" t="s">
        <v>939</v>
      </c>
      <c r="F16" s="40" t="s">
        <v>880</v>
      </c>
      <c r="G16" s="40" t="s">
        <v>66</v>
      </c>
      <c r="H16" s="40" t="s">
        <v>731</v>
      </c>
      <c r="I16" s="40" t="s">
        <v>887</v>
      </c>
    </row>
    <row r="17" customFormat="false" ht="15" hidden="false" customHeight="false" outlineLevel="0" collapsed="false">
      <c r="A17" s="33" t="s">
        <v>940</v>
      </c>
      <c r="B17" s="33" t="s">
        <v>310</v>
      </c>
      <c r="C17" s="33" t="s">
        <v>941</v>
      </c>
      <c r="D17" s="33" t="s">
        <v>942</v>
      </c>
      <c r="E17" s="33" t="s">
        <v>943</v>
      </c>
      <c r="F17" s="40" t="s">
        <v>880</v>
      </c>
      <c r="G17" s="40" t="s">
        <v>881</v>
      </c>
      <c r="H17" s="40" t="s">
        <v>664</v>
      </c>
      <c r="I17" s="40" t="s">
        <v>904</v>
      </c>
    </row>
    <row r="18" customFormat="false" ht="22.35" hidden="false" customHeight="false" outlineLevel="0" collapsed="false">
      <c r="A18" s="36" t="s">
        <v>944</v>
      </c>
      <c r="B18" s="36" t="s">
        <v>310</v>
      </c>
      <c r="C18" s="36" t="s">
        <v>945</v>
      </c>
      <c r="D18" s="36" t="s">
        <v>946</v>
      </c>
      <c r="E18" s="36" t="s">
        <v>947</v>
      </c>
      <c r="F18" s="40" t="s">
        <v>948</v>
      </c>
      <c r="G18" s="40" t="s">
        <v>925</v>
      </c>
      <c r="H18" s="40" t="s">
        <v>731</v>
      </c>
      <c r="I18" s="40" t="s">
        <v>949</v>
      </c>
    </row>
    <row r="19" customFormat="false" ht="15" hidden="false" customHeight="false" outlineLevel="0" collapsed="false">
      <c r="A19" s="33" t="s">
        <v>950</v>
      </c>
      <c r="B19" s="33" t="s">
        <v>315</v>
      </c>
      <c r="C19" s="33" t="s">
        <v>951</v>
      </c>
      <c r="D19" s="33" t="s">
        <v>952</v>
      </c>
      <c r="E19" s="33" t="s">
        <v>953</v>
      </c>
      <c r="F19" s="40" t="s">
        <v>880</v>
      </c>
      <c r="G19" s="40" t="s">
        <v>66</v>
      </c>
      <c r="H19" s="40" t="s">
        <v>731</v>
      </c>
      <c r="I19" s="40" t="s">
        <v>887</v>
      </c>
    </row>
    <row r="20" customFormat="false" ht="15" hidden="false" customHeight="false" outlineLevel="0" collapsed="false">
      <c r="A20" s="36" t="s">
        <v>954</v>
      </c>
      <c r="B20" s="36" t="s">
        <v>315</v>
      </c>
      <c r="C20" s="36" t="s">
        <v>955</v>
      </c>
      <c r="D20" s="36" t="s">
        <v>956</v>
      </c>
      <c r="E20" s="36" t="s">
        <v>957</v>
      </c>
      <c r="F20" s="40" t="s">
        <v>924</v>
      </c>
      <c r="G20" s="40" t="s">
        <v>66</v>
      </c>
      <c r="H20" s="40" t="s">
        <v>731</v>
      </c>
      <c r="I20" s="40" t="s">
        <v>958</v>
      </c>
    </row>
    <row r="21" customFormat="false" ht="22.35" hidden="false" customHeight="false" outlineLevel="0" collapsed="false">
      <c r="A21" s="33" t="s">
        <v>959</v>
      </c>
      <c r="B21" s="33" t="s">
        <v>320</v>
      </c>
      <c r="C21" s="33" t="s">
        <v>960</v>
      </c>
      <c r="D21" s="33" t="s">
        <v>961</v>
      </c>
      <c r="E21" s="33" t="s">
        <v>962</v>
      </c>
      <c r="F21" s="40" t="s">
        <v>880</v>
      </c>
      <c r="G21" s="40" t="s">
        <v>881</v>
      </c>
      <c r="H21" s="40" t="s">
        <v>664</v>
      </c>
      <c r="I21" s="40" t="s">
        <v>963</v>
      </c>
    </row>
    <row r="22" customFormat="false" ht="15" hidden="false" customHeight="false" outlineLevel="0" collapsed="false">
      <c r="A22" s="36" t="s">
        <v>964</v>
      </c>
      <c r="B22" s="36" t="s">
        <v>320</v>
      </c>
      <c r="C22" s="36" t="s">
        <v>965</v>
      </c>
      <c r="D22" s="36" t="s">
        <v>966</v>
      </c>
      <c r="E22" s="36" t="s">
        <v>967</v>
      </c>
      <c r="F22" s="40" t="s">
        <v>892</v>
      </c>
      <c r="G22" s="40" t="s">
        <v>881</v>
      </c>
      <c r="H22" s="40" t="s">
        <v>664</v>
      </c>
      <c r="I22" s="40" t="s">
        <v>893</v>
      </c>
    </row>
    <row r="23" customFormat="false" ht="15" hidden="false" customHeight="false" outlineLevel="0" collapsed="false">
      <c r="A23" s="33" t="s">
        <v>968</v>
      </c>
      <c r="B23" s="33" t="s">
        <v>325</v>
      </c>
      <c r="C23" s="33" t="s">
        <v>969</v>
      </c>
      <c r="D23" s="33" t="s">
        <v>970</v>
      </c>
      <c r="E23" s="33" t="s">
        <v>971</v>
      </c>
      <c r="F23" s="40" t="s">
        <v>972</v>
      </c>
      <c r="G23" s="40" t="s">
        <v>925</v>
      </c>
      <c r="H23" s="40" t="s">
        <v>731</v>
      </c>
      <c r="I23" s="40" t="s">
        <v>973</v>
      </c>
    </row>
    <row r="24" customFormat="false" ht="22.35" hidden="false" customHeight="false" outlineLevel="0" collapsed="false">
      <c r="A24" s="36" t="s">
        <v>974</v>
      </c>
      <c r="B24" s="36" t="s">
        <v>325</v>
      </c>
      <c r="C24" s="36" t="s">
        <v>975</v>
      </c>
      <c r="D24" s="36" t="s">
        <v>976</v>
      </c>
      <c r="E24" s="36" t="s">
        <v>977</v>
      </c>
      <c r="F24" s="40" t="s">
        <v>978</v>
      </c>
      <c r="G24" s="40" t="s">
        <v>881</v>
      </c>
      <c r="H24" s="40" t="s">
        <v>664</v>
      </c>
      <c r="I24" s="40" t="s">
        <v>979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20"/>
    <col collapsed="false" customWidth="true" hidden="false" outlineLevel="0" max="4" min="4" style="0" width="14"/>
    <col collapsed="false" customWidth="true" hidden="false" outlineLevel="0" max="5" min="5" style="0" width="9"/>
    <col collapsed="false" customWidth="true" hidden="false" outlineLevel="0" max="6" min="6" style="0" width="40"/>
    <col collapsed="false" customWidth="true" hidden="false" outlineLevel="0" max="7" min="7" style="0" width="22"/>
    <col collapsed="false" customWidth="true" hidden="false" outlineLevel="0" max="8" min="8" style="0" width="36"/>
    <col collapsed="false" customWidth="true" hidden="false" outlineLevel="0" max="9" min="9" style="0" width="20"/>
    <col collapsed="false" customWidth="true" hidden="false" outlineLevel="0" max="10" min="10" style="0" width="38"/>
    <col collapsed="false" customWidth="true" hidden="false" outlineLevel="0" max="11" min="11" style="0" width="28"/>
    <col collapsed="false" customWidth="true" hidden="false" outlineLevel="0" max="12" min="12" style="0" width="24"/>
    <col collapsed="false" customWidth="true" hidden="false" outlineLevel="0" max="13" min="13" style="0" width="9"/>
  </cols>
  <sheetData>
    <row r="1" customFormat="false" ht="17.35" hidden="false" customHeight="false" outlineLevel="0" collapsed="false">
      <c r="A1" s="1" t="s">
        <v>980</v>
      </c>
    </row>
    <row r="2" customFormat="false" ht="15" hidden="false" customHeight="false" outlineLevel="0" collapsed="false">
      <c r="A2" s="2" t="s">
        <v>981</v>
      </c>
    </row>
    <row r="4" customFormat="false" ht="30" hidden="false" customHeight="true" outlineLevel="0" collapsed="false">
      <c r="A4" s="12" t="s">
        <v>647</v>
      </c>
      <c r="B4" s="12" t="s">
        <v>648</v>
      </c>
      <c r="C4" s="12" t="s">
        <v>982</v>
      </c>
      <c r="D4" s="12" t="s">
        <v>983</v>
      </c>
      <c r="E4" s="12" t="s">
        <v>984</v>
      </c>
      <c r="F4" s="12" t="s">
        <v>985</v>
      </c>
      <c r="G4" s="12" t="s">
        <v>986</v>
      </c>
      <c r="H4" s="39" t="s">
        <v>987</v>
      </c>
      <c r="I4" s="39" t="s">
        <v>988</v>
      </c>
      <c r="J4" s="39" t="s">
        <v>989</v>
      </c>
      <c r="K4" s="39" t="s">
        <v>990</v>
      </c>
      <c r="L4" s="39" t="s">
        <v>991</v>
      </c>
      <c r="M4" s="39" t="s">
        <v>10</v>
      </c>
    </row>
    <row r="5" customFormat="false" ht="32.8" hidden="false" customHeight="false" outlineLevel="0" collapsed="false">
      <c r="A5" s="33" t="s">
        <v>992</v>
      </c>
      <c r="B5" s="33" t="s">
        <v>329</v>
      </c>
      <c r="C5" s="33" t="s">
        <v>993</v>
      </c>
      <c r="D5" s="33" t="s">
        <v>994</v>
      </c>
      <c r="E5" s="33" t="s">
        <v>995</v>
      </c>
      <c r="F5" s="33" t="s">
        <v>996</v>
      </c>
      <c r="G5" s="33" t="s">
        <v>997</v>
      </c>
      <c r="H5" s="40" t="s">
        <v>998</v>
      </c>
      <c r="I5" s="40" t="s">
        <v>999</v>
      </c>
      <c r="J5" s="40" t="s">
        <v>1000</v>
      </c>
      <c r="K5" s="40" t="s">
        <v>1001</v>
      </c>
      <c r="L5" s="40" t="s">
        <v>1002</v>
      </c>
      <c r="M5" s="40" t="s">
        <v>84</v>
      </c>
    </row>
    <row r="6" customFormat="false" ht="22.35" hidden="false" customHeight="false" outlineLevel="0" collapsed="false">
      <c r="A6" s="36" t="s">
        <v>1003</v>
      </c>
      <c r="B6" s="36" t="s">
        <v>329</v>
      </c>
      <c r="C6" s="36" t="s">
        <v>1004</v>
      </c>
      <c r="D6" s="36" t="s">
        <v>1005</v>
      </c>
      <c r="E6" s="36" t="s">
        <v>518</v>
      </c>
      <c r="F6" s="36" t="s">
        <v>1006</v>
      </c>
      <c r="G6" s="36" t="s">
        <v>1007</v>
      </c>
      <c r="H6" s="40" t="s">
        <v>1008</v>
      </c>
      <c r="I6" s="40" t="s">
        <v>1009</v>
      </c>
      <c r="J6" s="40" t="s">
        <v>1010</v>
      </c>
      <c r="K6" s="40" t="s">
        <v>1011</v>
      </c>
      <c r="L6" s="40"/>
      <c r="M6" s="40" t="s">
        <v>85</v>
      </c>
    </row>
    <row r="7" customFormat="false" ht="32.8" hidden="false" customHeight="false" outlineLevel="0" collapsed="false">
      <c r="A7" s="33" t="s">
        <v>1012</v>
      </c>
      <c r="B7" s="33" t="s">
        <v>335</v>
      </c>
      <c r="C7" s="33" t="s">
        <v>1013</v>
      </c>
      <c r="D7" s="33" t="s">
        <v>1005</v>
      </c>
      <c r="E7" s="33" t="s">
        <v>518</v>
      </c>
      <c r="F7" s="33" t="s">
        <v>1014</v>
      </c>
      <c r="G7" s="33" t="s">
        <v>1015</v>
      </c>
      <c r="H7" s="40" t="s">
        <v>1016</v>
      </c>
      <c r="I7" s="40" t="s">
        <v>999</v>
      </c>
      <c r="J7" s="40" t="s">
        <v>1017</v>
      </c>
      <c r="K7" s="40" t="s">
        <v>1018</v>
      </c>
      <c r="L7" s="40" t="s">
        <v>1019</v>
      </c>
      <c r="M7" s="40" t="s">
        <v>84</v>
      </c>
    </row>
    <row r="8" customFormat="false" ht="22.35" hidden="false" customHeight="false" outlineLevel="0" collapsed="false">
      <c r="A8" s="36" t="s">
        <v>1020</v>
      </c>
      <c r="B8" s="36" t="s">
        <v>335</v>
      </c>
      <c r="C8" s="36" t="s">
        <v>1021</v>
      </c>
      <c r="D8" s="36" t="s">
        <v>1022</v>
      </c>
      <c r="E8" s="36" t="s">
        <v>1023</v>
      </c>
      <c r="F8" s="36" t="s">
        <v>1024</v>
      </c>
      <c r="G8" s="36" t="s">
        <v>1025</v>
      </c>
      <c r="H8" s="40" t="s">
        <v>1026</v>
      </c>
      <c r="I8" s="40" t="s">
        <v>1009</v>
      </c>
      <c r="J8" s="40" t="s">
        <v>1027</v>
      </c>
      <c r="K8" s="40" t="s">
        <v>1028</v>
      </c>
      <c r="L8" s="40"/>
      <c r="M8" s="40" t="s">
        <v>85</v>
      </c>
    </row>
    <row r="9" customFormat="false" ht="32.8" hidden="false" customHeight="false" outlineLevel="0" collapsed="false">
      <c r="A9" s="33" t="s">
        <v>1029</v>
      </c>
      <c r="B9" s="33" t="s">
        <v>337</v>
      </c>
      <c r="C9" s="33" t="s">
        <v>1030</v>
      </c>
      <c r="D9" s="33" t="s">
        <v>1031</v>
      </c>
      <c r="E9" s="33" t="s">
        <v>525</v>
      </c>
      <c r="F9" s="33" t="s">
        <v>1032</v>
      </c>
      <c r="G9" s="33" t="s">
        <v>1033</v>
      </c>
      <c r="H9" s="40" t="s">
        <v>1034</v>
      </c>
      <c r="I9" s="40" t="s">
        <v>1009</v>
      </c>
      <c r="J9" s="40" t="s">
        <v>1035</v>
      </c>
      <c r="K9" s="40" t="s">
        <v>1036</v>
      </c>
      <c r="L9" s="40"/>
      <c r="M9" s="40" t="s">
        <v>85</v>
      </c>
    </row>
    <row r="10" customFormat="false" ht="43.25" hidden="false" customHeight="false" outlineLevel="0" collapsed="false">
      <c r="A10" s="36" t="s">
        <v>1037</v>
      </c>
      <c r="B10" s="36" t="s">
        <v>337</v>
      </c>
      <c r="C10" s="36" t="s">
        <v>1038</v>
      </c>
      <c r="D10" s="36" t="s">
        <v>1039</v>
      </c>
      <c r="E10" s="36" t="s">
        <v>535</v>
      </c>
      <c r="F10" s="36" t="s">
        <v>1040</v>
      </c>
      <c r="G10" s="36" t="s">
        <v>1041</v>
      </c>
      <c r="H10" s="40" t="s">
        <v>1042</v>
      </c>
      <c r="I10" s="40" t="s">
        <v>1043</v>
      </c>
      <c r="J10" s="40" t="s">
        <v>1044</v>
      </c>
      <c r="K10" s="40" t="s">
        <v>1045</v>
      </c>
      <c r="L10" s="40" t="s">
        <v>1046</v>
      </c>
      <c r="M10" s="40" t="s">
        <v>84</v>
      </c>
    </row>
    <row r="11" customFormat="false" ht="22.35" hidden="false" customHeight="false" outlineLevel="0" collapsed="false">
      <c r="A11" s="33" t="s">
        <v>1047</v>
      </c>
      <c r="B11" s="33" t="s">
        <v>341</v>
      </c>
      <c r="C11" s="33" t="s">
        <v>1048</v>
      </c>
      <c r="D11" s="33" t="s">
        <v>1049</v>
      </c>
      <c r="E11" s="33" t="s">
        <v>561</v>
      </c>
      <c r="F11" s="33" t="s">
        <v>1050</v>
      </c>
      <c r="G11" s="33" t="s">
        <v>1051</v>
      </c>
      <c r="H11" s="40" t="s">
        <v>1052</v>
      </c>
      <c r="I11" s="40" t="s">
        <v>1009</v>
      </c>
      <c r="J11" s="40" t="s">
        <v>1053</v>
      </c>
      <c r="K11" s="40" t="s">
        <v>1054</v>
      </c>
      <c r="L11" s="40"/>
      <c r="M11" s="40" t="s">
        <v>85</v>
      </c>
    </row>
    <row r="12" customFormat="false" ht="32.8" hidden="false" customHeight="false" outlineLevel="0" collapsed="false">
      <c r="A12" s="36" t="s">
        <v>1055</v>
      </c>
      <c r="B12" s="36" t="s">
        <v>341</v>
      </c>
      <c r="C12" s="36" t="s">
        <v>1056</v>
      </c>
      <c r="D12" s="36" t="s">
        <v>1057</v>
      </c>
      <c r="E12" s="36" t="s">
        <v>1058</v>
      </c>
      <c r="F12" s="36" t="s">
        <v>1059</v>
      </c>
      <c r="G12" s="36" t="s">
        <v>1060</v>
      </c>
      <c r="H12" s="40" t="s">
        <v>1061</v>
      </c>
      <c r="I12" s="40" t="s">
        <v>1062</v>
      </c>
      <c r="J12" s="40" t="s">
        <v>1063</v>
      </c>
      <c r="K12" s="40" t="s">
        <v>1064</v>
      </c>
      <c r="L12" s="40"/>
      <c r="M12" s="40" t="s">
        <v>84</v>
      </c>
    </row>
    <row r="13" customFormat="false" ht="22.35" hidden="false" customHeight="false" outlineLevel="0" collapsed="false">
      <c r="A13" s="33" t="s">
        <v>1065</v>
      </c>
      <c r="B13" s="33" t="s">
        <v>345</v>
      </c>
      <c r="C13" s="33" t="s">
        <v>993</v>
      </c>
      <c r="D13" s="33" t="s">
        <v>1066</v>
      </c>
      <c r="E13" s="33" t="s">
        <v>995</v>
      </c>
      <c r="F13" s="33" t="s">
        <v>1067</v>
      </c>
      <c r="G13" s="33" t="s">
        <v>1068</v>
      </c>
      <c r="H13" s="40" t="s">
        <v>1069</v>
      </c>
      <c r="I13" s="40" t="s">
        <v>1070</v>
      </c>
      <c r="J13" s="40" t="s">
        <v>1071</v>
      </c>
      <c r="K13" s="40" t="s">
        <v>1072</v>
      </c>
      <c r="L13" s="40" t="s">
        <v>1073</v>
      </c>
      <c r="M13" s="40" t="s">
        <v>84</v>
      </c>
    </row>
    <row r="14" customFormat="false" ht="22.35" hidden="false" customHeight="false" outlineLevel="0" collapsed="false">
      <c r="A14" s="36" t="s">
        <v>1074</v>
      </c>
      <c r="B14" s="36" t="s">
        <v>345</v>
      </c>
      <c r="C14" s="36" t="s">
        <v>1075</v>
      </c>
      <c r="D14" s="36" t="s">
        <v>1076</v>
      </c>
      <c r="E14" s="36" t="s">
        <v>578</v>
      </c>
      <c r="F14" s="36" t="s">
        <v>1077</v>
      </c>
      <c r="G14" s="36" t="s">
        <v>895</v>
      </c>
      <c r="H14" s="40" t="s">
        <v>1078</v>
      </c>
      <c r="I14" s="40" t="s">
        <v>1009</v>
      </c>
      <c r="J14" s="40" t="s">
        <v>1079</v>
      </c>
      <c r="K14" s="40" t="s">
        <v>1080</v>
      </c>
      <c r="L14" s="40"/>
      <c r="M14" s="40" t="s">
        <v>86</v>
      </c>
    </row>
    <row r="15" customFormat="false" ht="22.35" hidden="false" customHeight="false" outlineLevel="0" collapsed="false">
      <c r="A15" s="33" t="s">
        <v>1081</v>
      </c>
      <c r="B15" s="33" t="s">
        <v>329</v>
      </c>
      <c r="C15" s="33" t="s">
        <v>1082</v>
      </c>
      <c r="D15" s="33" t="s">
        <v>1083</v>
      </c>
      <c r="E15" s="33" t="s">
        <v>578</v>
      </c>
      <c r="F15" s="33" t="s">
        <v>1084</v>
      </c>
      <c r="G15" s="33" t="s">
        <v>496</v>
      </c>
      <c r="H15" s="40" t="s">
        <v>1085</v>
      </c>
      <c r="I15" s="40" t="s">
        <v>1086</v>
      </c>
      <c r="J15" s="40" t="s">
        <v>1087</v>
      </c>
      <c r="K15" s="40" t="s">
        <v>1088</v>
      </c>
      <c r="L15" s="40" t="s">
        <v>1089</v>
      </c>
      <c r="M15" s="40" t="s">
        <v>86</v>
      </c>
    </row>
    <row r="16" customFormat="false" ht="32.8" hidden="false" customHeight="false" outlineLevel="0" collapsed="false">
      <c r="A16" s="36" t="s">
        <v>1090</v>
      </c>
      <c r="B16" s="36" t="s">
        <v>341</v>
      </c>
      <c r="C16" s="36" t="s">
        <v>1013</v>
      </c>
      <c r="D16" s="36" t="s">
        <v>1091</v>
      </c>
      <c r="E16" s="36" t="s">
        <v>518</v>
      </c>
      <c r="F16" s="36" t="s">
        <v>1092</v>
      </c>
      <c r="G16" s="36" t="s">
        <v>1093</v>
      </c>
      <c r="H16" s="40" t="s">
        <v>1094</v>
      </c>
      <c r="I16" s="40" t="s">
        <v>75</v>
      </c>
      <c r="J16" s="40" t="s">
        <v>1095</v>
      </c>
      <c r="K16" s="40" t="s">
        <v>1096</v>
      </c>
      <c r="L16" s="40"/>
      <c r="M16" s="40" t="s">
        <v>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44"/>
    <col collapsed="false" customWidth="true" hidden="false" outlineLevel="0" max="4" min="4" style="0" width="13"/>
    <col collapsed="false" customWidth="true" hidden="false" outlineLevel="0" max="5" min="5" style="0" width="14"/>
    <col collapsed="false" customWidth="true" hidden="false" outlineLevel="0" max="6" min="6" style="0" width="9"/>
    <col collapsed="false" customWidth="true" hidden="false" outlineLevel="0" max="7" min="7" style="0" width="28"/>
    <col collapsed="false" customWidth="true" hidden="false" outlineLevel="0" max="8" min="8" style="0" width="34"/>
  </cols>
  <sheetData>
    <row r="1" customFormat="false" ht="17.35" hidden="false" customHeight="false" outlineLevel="0" collapsed="false">
      <c r="A1" s="1" t="s">
        <v>1097</v>
      </c>
    </row>
    <row r="2" customFormat="false" ht="15" hidden="false" customHeight="false" outlineLevel="0" collapsed="false">
      <c r="A2" s="2" t="s">
        <v>1098</v>
      </c>
    </row>
    <row r="4" customFormat="false" ht="30" hidden="false" customHeight="true" outlineLevel="0" collapsed="false">
      <c r="A4" s="12" t="s">
        <v>647</v>
      </c>
      <c r="B4" s="12" t="s">
        <v>648</v>
      </c>
      <c r="C4" s="12" t="s">
        <v>1099</v>
      </c>
      <c r="D4" s="12" t="s">
        <v>590</v>
      </c>
      <c r="E4" s="39" t="s">
        <v>1100</v>
      </c>
      <c r="F4" s="39" t="s">
        <v>591</v>
      </c>
      <c r="G4" s="39" t="s">
        <v>592</v>
      </c>
      <c r="H4" s="39" t="s">
        <v>875</v>
      </c>
    </row>
    <row r="5" customFormat="false" ht="15" hidden="false" customHeight="false" outlineLevel="0" collapsed="false">
      <c r="A5" s="33" t="s">
        <v>1101</v>
      </c>
      <c r="B5" s="33" t="s">
        <v>348</v>
      </c>
      <c r="C5" s="33" t="s">
        <v>1102</v>
      </c>
      <c r="D5" s="33" t="s">
        <v>594</v>
      </c>
      <c r="E5" s="40" t="s">
        <v>664</v>
      </c>
      <c r="F5" s="40" t="s">
        <v>597</v>
      </c>
      <c r="G5" s="40" t="s">
        <v>603</v>
      </c>
      <c r="H5" s="40" t="s">
        <v>1103</v>
      </c>
    </row>
    <row r="6" customFormat="false" ht="15" hidden="false" customHeight="false" outlineLevel="0" collapsed="false">
      <c r="A6" s="36" t="s">
        <v>1104</v>
      </c>
      <c r="B6" s="36" t="s">
        <v>353</v>
      </c>
      <c r="C6" s="36" t="s">
        <v>1105</v>
      </c>
      <c r="D6" s="36" t="s">
        <v>594</v>
      </c>
      <c r="E6" s="40" t="s">
        <v>731</v>
      </c>
      <c r="F6" s="40"/>
      <c r="G6" s="40"/>
      <c r="H6" s="40" t="s">
        <v>1106</v>
      </c>
    </row>
    <row r="7" customFormat="false" ht="15" hidden="false" customHeight="false" outlineLevel="0" collapsed="false">
      <c r="A7" s="33" t="s">
        <v>1107</v>
      </c>
      <c r="B7" s="33" t="s">
        <v>359</v>
      </c>
      <c r="C7" s="33" t="s">
        <v>1108</v>
      </c>
      <c r="D7" s="33" t="s">
        <v>594</v>
      </c>
      <c r="E7" s="40" t="s">
        <v>664</v>
      </c>
      <c r="F7" s="40" t="s">
        <v>597</v>
      </c>
      <c r="G7" s="40" t="s">
        <v>1109</v>
      </c>
      <c r="H7" s="40" t="s">
        <v>1110</v>
      </c>
    </row>
    <row r="8" customFormat="false" ht="15" hidden="false" customHeight="false" outlineLevel="0" collapsed="false">
      <c r="A8" s="36" t="s">
        <v>1111</v>
      </c>
      <c r="B8" s="36" t="s">
        <v>364</v>
      </c>
      <c r="C8" s="36" t="s">
        <v>1112</v>
      </c>
      <c r="D8" s="36" t="s">
        <v>604</v>
      </c>
      <c r="E8" s="40" t="s">
        <v>664</v>
      </c>
      <c r="F8" s="40" t="s">
        <v>602</v>
      </c>
      <c r="G8" s="40" t="s">
        <v>607</v>
      </c>
      <c r="H8" s="40" t="s">
        <v>1113</v>
      </c>
    </row>
    <row r="9" customFormat="false" ht="15" hidden="false" customHeight="false" outlineLevel="0" collapsed="false">
      <c r="A9" s="33" t="s">
        <v>1114</v>
      </c>
      <c r="B9" s="33" t="s">
        <v>369</v>
      </c>
      <c r="C9" s="33" t="s">
        <v>1115</v>
      </c>
      <c r="D9" s="33" t="s">
        <v>604</v>
      </c>
      <c r="E9" s="40" t="s">
        <v>731</v>
      </c>
      <c r="F9" s="40"/>
      <c r="G9" s="40"/>
      <c r="H9" s="40" t="s">
        <v>1116</v>
      </c>
    </row>
    <row r="10" customFormat="false" ht="15" hidden="false" customHeight="false" outlineLevel="0" collapsed="false">
      <c r="A10" s="36" t="s">
        <v>1117</v>
      </c>
      <c r="B10" s="36" t="s">
        <v>374</v>
      </c>
      <c r="C10" s="36" t="s">
        <v>1118</v>
      </c>
      <c r="D10" s="36" t="s">
        <v>608</v>
      </c>
      <c r="E10" s="40" t="s">
        <v>664</v>
      </c>
      <c r="F10" s="40" t="s">
        <v>597</v>
      </c>
      <c r="G10" s="40" t="s">
        <v>607</v>
      </c>
      <c r="H10" s="40" t="s">
        <v>1119</v>
      </c>
    </row>
    <row r="11" customFormat="false" ht="15" hidden="false" customHeight="false" outlineLevel="0" collapsed="false">
      <c r="A11" s="33" t="s">
        <v>1120</v>
      </c>
      <c r="B11" s="33" t="s">
        <v>379</v>
      </c>
      <c r="C11" s="33" t="s">
        <v>1121</v>
      </c>
      <c r="D11" s="33" t="s">
        <v>608</v>
      </c>
      <c r="E11" s="40" t="s">
        <v>731</v>
      </c>
      <c r="F11" s="40"/>
      <c r="G11" s="40"/>
      <c r="H11" s="40" t="s">
        <v>1122</v>
      </c>
    </row>
    <row r="12" customFormat="false" ht="15" hidden="false" customHeight="false" outlineLevel="0" collapsed="false">
      <c r="A12" s="36" t="s">
        <v>1123</v>
      </c>
      <c r="B12" s="36" t="s">
        <v>348</v>
      </c>
      <c r="C12" s="36" t="s">
        <v>1124</v>
      </c>
      <c r="D12" s="36" t="s">
        <v>594</v>
      </c>
      <c r="E12" s="40" t="s">
        <v>731</v>
      </c>
      <c r="F12" s="40"/>
      <c r="G12" s="40"/>
      <c r="H12" s="40" t="s">
        <v>1125</v>
      </c>
    </row>
    <row r="13" customFormat="false" ht="15" hidden="false" customHeight="false" outlineLevel="0" collapsed="false">
      <c r="A13" s="33" t="s">
        <v>1126</v>
      </c>
      <c r="B13" s="33" t="s">
        <v>384</v>
      </c>
      <c r="C13" s="33" t="s">
        <v>1127</v>
      </c>
      <c r="D13" s="33" t="s">
        <v>1128</v>
      </c>
      <c r="E13" s="40" t="s">
        <v>1129</v>
      </c>
      <c r="F13" s="40" t="s">
        <v>597</v>
      </c>
      <c r="G13" s="40" t="s">
        <v>1130</v>
      </c>
      <c r="H13" s="40" t="s">
        <v>1131</v>
      </c>
    </row>
    <row r="14" customFormat="false" ht="15" hidden="false" customHeight="false" outlineLevel="0" collapsed="false">
      <c r="A14" s="36" t="s">
        <v>1132</v>
      </c>
      <c r="B14" s="36" t="s">
        <v>353</v>
      </c>
      <c r="C14" s="36" t="s">
        <v>1133</v>
      </c>
      <c r="D14" s="36" t="s">
        <v>1134</v>
      </c>
      <c r="E14" s="40" t="s">
        <v>1135</v>
      </c>
      <c r="F14" s="40" t="s">
        <v>602</v>
      </c>
      <c r="G14" s="40" t="s">
        <v>607</v>
      </c>
      <c r="H14" s="40" t="s">
        <v>1136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22"/>
    <col collapsed="false" customWidth="true" hidden="false" outlineLevel="0" max="4" min="4" style="0" width="10"/>
    <col collapsed="false" customWidth="true" hidden="false" outlineLevel="0" max="5" min="5" style="0" width="9"/>
    <col collapsed="false" customWidth="true" hidden="false" outlineLevel="0" max="13" min="6" style="0" width="6"/>
    <col collapsed="false" customWidth="true" hidden="false" outlineLevel="0" max="14" min="14" style="0" width="11"/>
    <col collapsed="false" customWidth="true" hidden="false" outlineLevel="0" max="15" min="15" style="0" width="38"/>
    <col collapsed="false" customWidth="true" hidden="false" outlineLevel="0" max="16" min="16" style="0" width="18"/>
    <col collapsed="false" customWidth="true" hidden="false" outlineLevel="0" max="17" min="17" style="0" width="28"/>
    <col collapsed="false" customWidth="true" hidden="false" outlineLevel="0" max="18" min="18" style="0" width="36"/>
    <col collapsed="false" customWidth="true" hidden="false" outlineLevel="0" max="19" min="19" style="0" width="9"/>
  </cols>
  <sheetData>
    <row r="1" customFormat="false" ht="17.35" hidden="false" customHeight="false" outlineLevel="0" collapsed="false">
      <c r="A1" s="1" t="s">
        <v>1137</v>
      </c>
    </row>
    <row r="2" customFormat="false" ht="15" hidden="false" customHeight="false" outlineLevel="0" collapsed="false">
      <c r="A2" s="2" t="s">
        <v>1138</v>
      </c>
    </row>
    <row r="4" customFormat="false" ht="30" hidden="false" customHeight="true" outlineLevel="0" collapsed="false">
      <c r="A4" s="12" t="s">
        <v>647</v>
      </c>
      <c r="B4" s="12" t="s">
        <v>648</v>
      </c>
      <c r="C4" s="12" t="s">
        <v>503</v>
      </c>
      <c r="D4" s="12" t="s">
        <v>92</v>
      </c>
      <c r="E4" s="12" t="s">
        <v>1139</v>
      </c>
      <c r="F4" s="12" t="s">
        <v>1140</v>
      </c>
      <c r="G4" s="12" t="s">
        <v>1141</v>
      </c>
      <c r="H4" s="12" t="s">
        <v>1142</v>
      </c>
      <c r="I4" s="12" t="s">
        <v>1143</v>
      </c>
      <c r="J4" s="12" t="s">
        <v>1144</v>
      </c>
      <c r="K4" s="12" t="s">
        <v>1145</v>
      </c>
      <c r="L4" s="12" t="s">
        <v>1146</v>
      </c>
      <c r="M4" s="12" t="s">
        <v>1147</v>
      </c>
      <c r="N4" s="12" t="s">
        <v>1148</v>
      </c>
      <c r="O4" s="12" t="s">
        <v>1149</v>
      </c>
      <c r="P4" s="39" t="s">
        <v>1150</v>
      </c>
      <c r="Q4" s="39" t="s">
        <v>1151</v>
      </c>
      <c r="R4" s="39" t="s">
        <v>1152</v>
      </c>
      <c r="S4" s="39" t="s">
        <v>10</v>
      </c>
    </row>
    <row r="5" customFormat="false" ht="22.35" hidden="false" customHeight="false" outlineLevel="0" collapsed="false">
      <c r="A5" s="33" t="s">
        <v>1153</v>
      </c>
      <c r="B5" s="33" t="s">
        <v>348</v>
      </c>
      <c r="C5" s="33" t="s">
        <v>993</v>
      </c>
      <c r="D5" s="33" t="s">
        <v>118</v>
      </c>
      <c r="E5" s="33" t="n">
        <v>3.5</v>
      </c>
      <c r="F5" s="33" t="n">
        <v>3.6</v>
      </c>
      <c r="G5" s="33" t="n">
        <v>3.8</v>
      </c>
      <c r="H5" s="33" t="n">
        <v>4.4</v>
      </c>
      <c r="I5" s="33" t="n">
        <v>5.2</v>
      </c>
      <c r="J5" s="33" t="n">
        <v>6.1</v>
      </c>
      <c r="K5" s="33" t="n">
        <v>7</v>
      </c>
      <c r="L5" s="33" t="n">
        <v>8.2</v>
      </c>
      <c r="M5" s="33" t="n">
        <v>9</v>
      </c>
      <c r="N5" s="41" t="n">
        <f aca="false">M5-E5</f>
        <v>5.5</v>
      </c>
      <c r="O5" s="33" t="s">
        <v>1154</v>
      </c>
      <c r="P5" s="40" t="s">
        <v>1155</v>
      </c>
      <c r="Q5" s="40" t="s">
        <v>1156</v>
      </c>
      <c r="R5" s="40" t="s">
        <v>1157</v>
      </c>
      <c r="S5" s="40" t="s">
        <v>85</v>
      </c>
    </row>
    <row r="6" customFormat="false" ht="22.35" hidden="false" customHeight="false" outlineLevel="0" collapsed="false">
      <c r="A6" s="36" t="s">
        <v>1158</v>
      </c>
      <c r="B6" s="36" t="s">
        <v>353</v>
      </c>
      <c r="C6" s="36" t="s">
        <v>1013</v>
      </c>
      <c r="D6" s="36" t="s">
        <v>1159</v>
      </c>
      <c r="E6" s="36" t="n">
        <v>96</v>
      </c>
      <c r="F6" s="36" t="n">
        <v>96</v>
      </c>
      <c r="G6" s="36" t="n">
        <v>95</v>
      </c>
      <c r="H6" s="36" t="n">
        <v>96</v>
      </c>
      <c r="I6" s="36" t="n">
        <v>89</v>
      </c>
      <c r="J6" s="36" t="n">
        <v>87</v>
      </c>
      <c r="K6" s="36" t="n">
        <v>90</v>
      </c>
      <c r="L6" s="36" t="n">
        <v>95</v>
      </c>
      <c r="M6" s="36" t="n">
        <v>96</v>
      </c>
      <c r="N6" s="42" t="n">
        <f aca="false">M6-E6</f>
        <v>0</v>
      </c>
      <c r="O6" s="36" t="s">
        <v>1160</v>
      </c>
      <c r="P6" s="40" t="s">
        <v>1161</v>
      </c>
      <c r="Q6" s="40" t="s">
        <v>1162</v>
      </c>
      <c r="R6" s="40" t="s">
        <v>1163</v>
      </c>
      <c r="S6" s="40" t="s">
        <v>84</v>
      </c>
    </row>
    <row r="7" customFormat="false" ht="22.35" hidden="false" customHeight="false" outlineLevel="0" collapsed="false">
      <c r="A7" s="33" t="s">
        <v>1164</v>
      </c>
      <c r="B7" s="33" t="s">
        <v>359</v>
      </c>
      <c r="C7" s="33" t="s">
        <v>1004</v>
      </c>
      <c r="D7" s="33" t="s">
        <v>1159</v>
      </c>
      <c r="E7" s="33" t="n">
        <v>97</v>
      </c>
      <c r="F7" s="33" t="n">
        <v>97</v>
      </c>
      <c r="G7" s="33" t="n">
        <v>96</v>
      </c>
      <c r="H7" s="33" t="n">
        <v>96</v>
      </c>
      <c r="I7" s="33" t="n">
        <v>91</v>
      </c>
      <c r="J7" s="33" t="n">
        <v>90</v>
      </c>
      <c r="K7" s="33" t="n">
        <v>89</v>
      </c>
      <c r="L7" s="33" t="n">
        <v>89</v>
      </c>
      <c r="M7" s="33" t="n">
        <v>88</v>
      </c>
      <c r="N7" s="41" t="n">
        <f aca="false">M7-E7</f>
        <v>-9</v>
      </c>
      <c r="O7" s="33" t="s">
        <v>1165</v>
      </c>
      <c r="P7" s="40" t="s">
        <v>1155</v>
      </c>
      <c r="Q7" s="40" t="s">
        <v>1166</v>
      </c>
      <c r="R7" s="40" t="s">
        <v>1167</v>
      </c>
      <c r="S7" s="40" t="s">
        <v>85</v>
      </c>
    </row>
    <row r="8" customFormat="false" ht="22.35" hidden="false" customHeight="false" outlineLevel="0" collapsed="false">
      <c r="A8" s="36" t="s">
        <v>1168</v>
      </c>
      <c r="B8" s="36" t="s">
        <v>364</v>
      </c>
      <c r="C8" s="36" t="s">
        <v>1021</v>
      </c>
      <c r="D8" s="36" t="s">
        <v>1159</v>
      </c>
      <c r="E8" s="36" t="n">
        <v>99.5</v>
      </c>
      <c r="F8" s="36" t="n">
        <v>99.5</v>
      </c>
      <c r="G8" s="36" t="n">
        <v>99.4</v>
      </c>
      <c r="H8" s="36" t="n">
        <v>97.1</v>
      </c>
      <c r="I8" s="36" t="n">
        <v>96.8</v>
      </c>
      <c r="J8" s="36" t="n">
        <v>96.9</v>
      </c>
      <c r="K8" s="36" t="n">
        <v>97</v>
      </c>
      <c r="L8" s="36" t="n">
        <v>96.7</v>
      </c>
      <c r="M8" s="36" t="n">
        <v>96.8</v>
      </c>
      <c r="N8" s="42" t="n">
        <f aca="false">M8-E8</f>
        <v>-2.7</v>
      </c>
      <c r="O8" s="36" t="s">
        <v>1169</v>
      </c>
      <c r="P8" s="40" t="s">
        <v>1155</v>
      </c>
      <c r="Q8" s="40" t="s">
        <v>1170</v>
      </c>
      <c r="R8" s="40" t="s">
        <v>1171</v>
      </c>
      <c r="S8" s="40" t="s">
        <v>85</v>
      </c>
    </row>
    <row r="9" customFormat="false" ht="22.35" hidden="false" customHeight="false" outlineLevel="0" collapsed="false">
      <c r="A9" s="33" t="s">
        <v>1172</v>
      </c>
      <c r="B9" s="33" t="s">
        <v>369</v>
      </c>
      <c r="C9" s="33" t="s">
        <v>1030</v>
      </c>
      <c r="D9" s="33" t="s">
        <v>1159</v>
      </c>
      <c r="E9" s="33" t="n">
        <v>3</v>
      </c>
      <c r="F9" s="33" t="n">
        <v>3</v>
      </c>
      <c r="G9" s="33" t="n">
        <v>3.4</v>
      </c>
      <c r="H9" s="33" t="n">
        <v>3.9</v>
      </c>
      <c r="I9" s="33" t="n">
        <v>4.5</v>
      </c>
      <c r="J9" s="33" t="n">
        <v>5.2</v>
      </c>
      <c r="K9" s="33" t="n">
        <v>6</v>
      </c>
      <c r="L9" s="33" t="n">
        <v>6.8</v>
      </c>
      <c r="M9" s="33" t="n">
        <v>7.5</v>
      </c>
      <c r="N9" s="41" t="n">
        <f aca="false">M9-E9</f>
        <v>4.5</v>
      </c>
      <c r="O9" s="33" t="s">
        <v>1173</v>
      </c>
      <c r="P9" s="40" t="s">
        <v>1174</v>
      </c>
      <c r="Q9" s="40" t="s">
        <v>1175</v>
      </c>
      <c r="R9" s="40" t="s">
        <v>1176</v>
      </c>
      <c r="S9" s="40" t="s">
        <v>84</v>
      </c>
    </row>
    <row r="10" customFormat="false" ht="22.35" hidden="false" customHeight="false" outlineLevel="0" collapsed="false">
      <c r="A10" s="36" t="s">
        <v>1177</v>
      </c>
      <c r="B10" s="36" t="s">
        <v>374</v>
      </c>
      <c r="C10" s="36" t="s">
        <v>1178</v>
      </c>
      <c r="D10" s="36" t="s">
        <v>1179</v>
      </c>
      <c r="E10" s="36" t="n">
        <v>1</v>
      </c>
      <c r="F10" s="36" t="n">
        <v>1</v>
      </c>
      <c r="G10" s="36" t="n">
        <v>1.1</v>
      </c>
      <c r="H10" s="36" t="n">
        <v>1.2</v>
      </c>
      <c r="I10" s="36" t="n">
        <v>1.3</v>
      </c>
      <c r="J10" s="36" t="n">
        <v>1.3</v>
      </c>
      <c r="K10" s="36" t="n">
        <v>1.4</v>
      </c>
      <c r="L10" s="36" t="n">
        <v>1.4</v>
      </c>
      <c r="M10" s="36" t="n">
        <v>1.4</v>
      </c>
      <c r="N10" s="42" t="n">
        <f aca="false">M10-E10</f>
        <v>0.4</v>
      </c>
      <c r="O10" s="36" t="s">
        <v>1180</v>
      </c>
      <c r="P10" s="40" t="s">
        <v>1181</v>
      </c>
      <c r="Q10" s="40" t="s">
        <v>1182</v>
      </c>
      <c r="R10" s="40" t="s">
        <v>1183</v>
      </c>
      <c r="S10" s="40" t="s">
        <v>84</v>
      </c>
    </row>
    <row r="11" customFormat="false" ht="22.35" hidden="false" customHeight="false" outlineLevel="0" collapsed="false">
      <c r="A11" s="33" t="s">
        <v>1184</v>
      </c>
      <c r="B11" s="33" t="s">
        <v>379</v>
      </c>
      <c r="C11" s="33" t="s">
        <v>993</v>
      </c>
      <c r="D11" s="33" t="s">
        <v>118</v>
      </c>
      <c r="E11" s="33" t="n">
        <v>3.2</v>
      </c>
      <c r="F11" s="33" t="n">
        <v>3.1</v>
      </c>
      <c r="G11" s="33" t="n">
        <v>3.3</v>
      </c>
      <c r="H11" s="33" t="n">
        <v>3.2</v>
      </c>
      <c r="I11" s="33" t="n">
        <v>3.4</v>
      </c>
      <c r="J11" s="33" t="n">
        <v>3.1</v>
      </c>
      <c r="K11" s="33" t="n">
        <v>3.2</v>
      </c>
      <c r="L11" s="33" t="n">
        <v>3.3</v>
      </c>
      <c r="M11" s="33" t="n">
        <v>3.2</v>
      </c>
      <c r="N11" s="41" t="n">
        <f aca="false">M11-E11</f>
        <v>0</v>
      </c>
      <c r="O11" s="33" t="s">
        <v>1185</v>
      </c>
      <c r="P11" s="40" t="s">
        <v>1186</v>
      </c>
      <c r="Q11" s="40" t="s">
        <v>1187</v>
      </c>
      <c r="R11" s="40" t="s">
        <v>1188</v>
      </c>
      <c r="S11" s="40" t="s">
        <v>85</v>
      </c>
    </row>
    <row r="12" customFormat="false" ht="22.35" hidden="false" customHeight="false" outlineLevel="0" collapsed="false">
      <c r="A12" s="36" t="s">
        <v>1189</v>
      </c>
      <c r="B12" s="36" t="s">
        <v>384</v>
      </c>
      <c r="C12" s="36" t="s">
        <v>1038</v>
      </c>
      <c r="D12" s="36" t="s">
        <v>1159</v>
      </c>
      <c r="E12" s="36" t="n">
        <v>2</v>
      </c>
      <c r="F12" s="36" t="n">
        <v>2</v>
      </c>
      <c r="G12" s="36" t="n">
        <v>2.1</v>
      </c>
      <c r="H12" s="36" t="n">
        <v>1.9</v>
      </c>
      <c r="I12" s="36" t="n">
        <v>2.2</v>
      </c>
      <c r="J12" s="36" t="n">
        <v>4.8</v>
      </c>
      <c r="K12" s="36" t="n">
        <v>5.1</v>
      </c>
      <c r="L12" s="36" t="n">
        <v>5</v>
      </c>
      <c r="M12" s="36" t="n">
        <v>5.3</v>
      </c>
      <c r="N12" s="42" t="n">
        <f aca="false">M12-E12</f>
        <v>3.3</v>
      </c>
      <c r="O12" s="36" t="s">
        <v>1190</v>
      </c>
      <c r="P12" s="40" t="s">
        <v>1155</v>
      </c>
      <c r="Q12" s="40" t="s">
        <v>1191</v>
      </c>
      <c r="R12" s="40" t="s">
        <v>1192</v>
      </c>
      <c r="S12" s="40"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8"/>
    <col collapsed="false" customWidth="true" hidden="false" outlineLevel="0" max="3" min="3" style="0" width="30"/>
    <col collapsed="false" customWidth="true" hidden="false" outlineLevel="0" max="4" min="4" style="0" width="64"/>
    <col collapsed="false" customWidth="true" hidden="false" outlineLevel="0" max="5" min="5" style="0" width="24"/>
    <col collapsed="false" customWidth="true" hidden="false" outlineLevel="0" max="6" min="6" style="0" width="18"/>
  </cols>
  <sheetData>
    <row r="1" customFormat="false" ht="17.35" hidden="false" customHeight="false" outlineLevel="0" collapsed="false">
      <c r="A1" s="1" t="s">
        <v>1193</v>
      </c>
    </row>
    <row r="2" customFormat="false" ht="15" hidden="false" customHeight="false" outlineLevel="0" collapsed="false">
      <c r="A2" s="2" t="s">
        <v>1194</v>
      </c>
    </row>
    <row r="4" customFormat="false" ht="30" hidden="false" customHeight="true" outlineLevel="0" collapsed="false">
      <c r="A4" s="12" t="s">
        <v>1195</v>
      </c>
      <c r="B4" s="12" t="s">
        <v>1196</v>
      </c>
      <c r="C4" s="12" t="s">
        <v>1197</v>
      </c>
      <c r="D4" s="12" t="s">
        <v>1198</v>
      </c>
      <c r="E4" s="12" t="s">
        <v>1199</v>
      </c>
      <c r="F4" s="12" t="s">
        <v>1200</v>
      </c>
    </row>
    <row r="5" customFormat="false" ht="15" hidden="false" customHeight="false" outlineLevel="0" collapsed="false">
      <c r="A5" s="33" t="s">
        <v>1201</v>
      </c>
      <c r="B5" s="33" t="s">
        <v>1202</v>
      </c>
      <c r="C5" s="33" t="s">
        <v>1203</v>
      </c>
      <c r="D5" s="33" t="s">
        <v>1204</v>
      </c>
      <c r="E5" s="33" t="s">
        <v>1205</v>
      </c>
      <c r="F5" s="33" t="s">
        <v>1206</v>
      </c>
    </row>
    <row r="6" customFormat="false" ht="15" hidden="false" customHeight="false" outlineLevel="0" collapsed="false">
      <c r="A6" s="36" t="s">
        <v>1201</v>
      </c>
      <c r="B6" s="36" t="s">
        <v>1202</v>
      </c>
      <c r="C6" s="36" t="s">
        <v>1207</v>
      </c>
      <c r="D6" s="36" t="s">
        <v>1208</v>
      </c>
      <c r="E6" s="36" t="s">
        <v>1209</v>
      </c>
      <c r="F6" s="36" t="s">
        <v>1206</v>
      </c>
    </row>
    <row r="7" customFormat="false" ht="15" hidden="false" customHeight="false" outlineLevel="0" collapsed="false">
      <c r="A7" s="33" t="s">
        <v>1201</v>
      </c>
      <c r="B7" s="33" t="s">
        <v>1202</v>
      </c>
      <c r="C7" s="33" t="s">
        <v>1210</v>
      </c>
      <c r="D7" s="33" t="s">
        <v>1211</v>
      </c>
      <c r="E7" s="33" t="s">
        <v>1212</v>
      </c>
      <c r="F7" s="33" t="s">
        <v>1206</v>
      </c>
    </row>
    <row r="8" customFormat="false" ht="15" hidden="false" customHeight="false" outlineLevel="0" collapsed="false">
      <c r="A8" s="36" t="s">
        <v>1201</v>
      </c>
      <c r="B8" s="36" t="s">
        <v>1202</v>
      </c>
      <c r="C8" s="36" t="s">
        <v>1213</v>
      </c>
      <c r="D8" s="36" t="s">
        <v>1214</v>
      </c>
      <c r="E8" s="36" t="s">
        <v>1215</v>
      </c>
      <c r="F8" s="36" t="s">
        <v>1206</v>
      </c>
    </row>
    <row r="9" customFormat="false" ht="15" hidden="false" customHeight="false" outlineLevel="0" collapsed="false">
      <c r="A9" s="33" t="s">
        <v>1201</v>
      </c>
      <c r="B9" s="33" t="s">
        <v>1202</v>
      </c>
      <c r="C9" s="33" t="s">
        <v>1216</v>
      </c>
      <c r="D9" s="33" t="s">
        <v>1217</v>
      </c>
      <c r="E9" s="33" t="s">
        <v>578</v>
      </c>
      <c r="F9" s="33" t="s">
        <v>1206</v>
      </c>
    </row>
    <row r="10" customFormat="false" ht="15" hidden="false" customHeight="false" outlineLevel="0" collapsed="false">
      <c r="A10" s="36" t="s">
        <v>1218</v>
      </c>
      <c r="B10" s="36" t="s">
        <v>1219</v>
      </c>
      <c r="C10" s="36" t="s">
        <v>1220</v>
      </c>
      <c r="D10" s="36" t="s">
        <v>1221</v>
      </c>
      <c r="E10" s="36" t="s">
        <v>1222</v>
      </c>
      <c r="F10" s="36" t="s">
        <v>1206</v>
      </c>
    </row>
    <row r="11" customFormat="false" ht="15" hidden="false" customHeight="false" outlineLevel="0" collapsed="false">
      <c r="A11" s="33" t="s">
        <v>1223</v>
      </c>
      <c r="B11" s="33" t="s">
        <v>1224</v>
      </c>
      <c r="C11" s="33" t="s">
        <v>1225</v>
      </c>
      <c r="D11" s="33" t="s">
        <v>1226</v>
      </c>
      <c r="E11" s="33" t="s">
        <v>1227</v>
      </c>
      <c r="F11" s="33" t="s">
        <v>1206</v>
      </c>
    </row>
    <row r="12" customFormat="false" ht="15" hidden="false" customHeight="false" outlineLevel="0" collapsed="false">
      <c r="A12" s="36" t="s">
        <v>1223</v>
      </c>
      <c r="B12" s="36" t="s">
        <v>1202</v>
      </c>
      <c r="C12" s="36" t="s">
        <v>1228</v>
      </c>
      <c r="D12" s="36" t="s">
        <v>1229</v>
      </c>
      <c r="E12" s="36" t="s">
        <v>1230</v>
      </c>
      <c r="F12" s="36" t="s">
        <v>1206</v>
      </c>
    </row>
    <row r="13" customFormat="false" ht="15" hidden="false" customHeight="false" outlineLevel="0" collapsed="false">
      <c r="A13" s="33" t="s">
        <v>1223</v>
      </c>
      <c r="B13" s="33" t="s">
        <v>1202</v>
      </c>
      <c r="C13" s="33" t="s">
        <v>1231</v>
      </c>
      <c r="D13" s="33" t="s">
        <v>1232</v>
      </c>
      <c r="E13" s="33" t="s">
        <v>1215</v>
      </c>
      <c r="F13" s="33" t="s">
        <v>1206</v>
      </c>
    </row>
    <row r="14" customFormat="false" ht="15" hidden="false" customHeight="false" outlineLevel="0" collapsed="false">
      <c r="A14" s="36" t="s">
        <v>1223</v>
      </c>
      <c r="B14" s="36" t="s">
        <v>1202</v>
      </c>
      <c r="C14" s="36" t="s">
        <v>1233</v>
      </c>
      <c r="D14" s="36" t="s">
        <v>1234</v>
      </c>
      <c r="E14" s="36" t="s">
        <v>578</v>
      </c>
      <c r="F14" s="36" t="s">
        <v>1206</v>
      </c>
    </row>
    <row r="15" customFormat="false" ht="15" hidden="false" customHeight="false" outlineLevel="0" collapsed="false">
      <c r="A15" s="33" t="s">
        <v>1223</v>
      </c>
      <c r="B15" s="33" t="s">
        <v>1202</v>
      </c>
      <c r="C15" s="33" t="s">
        <v>1235</v>
      </c>
      <c r="D15" s="33" t="s">
        <v>1236</v>
      </c>
      <c r="E15" s="33" t="s">
        <v>1237</v>
      </c>
      <c r="F15" s="33" t="s">
        <v>1238</v>
      </c>
    </row>
    <row r="16" customFormat="false" ht="15" hidden="false" customHeight="false" outlineLevel="0" collapsed="false">
      <c r="A16" s="36" t="s">
        <v>1223</v>
      </c>
      <c r="B16" s="36" t="s">
        <v>1239</v>
      </c>
      <c r="C16" s="36" t="s">
        <v>1240</v>
      </c>
      <c r="D16" s="36" t="s">
        <v>1241</v>
      </c>
      <c r="E16" s="36" t="s">
        <v>1242</v>
      </c>
      <c r="F16" s="36" t="s">
        <v>1243</v>
      </c>
    </row>
    <row r="17" customFormat="false" ht="15" hidden="false" customHeight="false" outlineLevel="0" collapsed="false">
      <c r="A17" s="33" t="s">
        <v>1244</v>
      </c>
      <c r="B17" s="33" t="s">
        <v>1219</v>
      </c>
      <c r="C17" s="33" t="s">
        <v>1245</v>
      </c>
      <c r="D17" s="33" t="s">
        <v>1246</v>
      </c>
      <c r="E17" s="33" t="s">
        <v>1222</v>
      </c>
      <c r="F17" s="33" t="s">
        <v>1206</v>
      </c>
    </row>
    <row r="18" customFormat="false" ht="15" hidden="false" customHeight="false" outlineLevel="0" collapsed="false">
      <c r="A18" s="36" t="s">
        <v>1247</v>
      </c>
      <c r="B18" s="36" t="s">
        <v>1248</v>
      </c>
      <c r="C18" s="36" t="s">
        <v>1249</v>
      </c>
      <c r="D18" s="36" t="s">
        <v>1250</v>
      </c>
      <c r="E18" s="36" t="s">
        <v>1205</v>
      </c>
      <c r="F18" s="36" t="s">
        <v>1251</v>
      </c>
    </row>
    <row r="19" customFormat="false" ht="15" hidden="false" customHeight="false" outlineLevel="0" collapsed="false">
      <c r="A19" s="33" t="s">
        <v>1247</v>
      </c>
      <c r="B19" s="33" t="s">
        <v>1248</v>
      </c>
      <c r="C19" s="33" t="s">
        <v>1252</v>
      </c>
      <c r="D19" s="33" t="s">
        <v>1253</v>
      </c>
      <c r="E19" s="33" t="s">
        <v>1209</v>
      </c>
      <c r="F19" s="33" t="s">
        <v>1251</v>
      </c>
    </row>
    <row r="20" customFormat="false" ht="15" hidden="false" customHeight="false" outlineLevel="0" collapsed="false">
      <c r="A20" s="36" t="s">
        <v>1247</v>
      </c>
      <c r="B20" s="36" t="s">
        <v>1239</v>
      </c>
      <c r="C20" s="36" t="s">
        <v>1254</v>
      </c>
      <c r="D20" s="36" t="s">
        <v>1255</v>
      </c>
      <c r="E20" s="36" t="s">
        <v>1256</v>
      </c>
      <c r="F20" s="36" t="s">
        <v>1251</v>
      </c>
    </row>
    <row r="21" customFormat="false" ht="15" hidden="false" customHeight="false" outlineLevel="0" collapsed="false">
      <c r="A21" s="33" t="s">
        <v>1257</v>
      </c>
      <c r="B21" s="33" t="s">
        <v>1258</v>
      </c>
      <c r="C21" s="33" t="s">
        <v>1259</v>
      </c>
      <c r="D21" s="33" t="s">
        <v>1260</v>
      </c>
      <c r="E21" s="33" t="s">
        <v>1261</v>
      </c>
      <c r="F21" s="33" t="s">
        <v>1262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120"/>
  </cols>
  <sheetData>
    <row r="1" customFormat="false" ht="17.35" hidden="false" customHeight="false" outlineLevel="0" collapsed="false">
      <c r="A1" s="1" t="s">
        <v>1263</v>
      </c>
    </row>
    <row r="2" customFormat="false" ht="15" hidden="false" customHeight="false" outlineLevel="0" collapsed="false">
      <c r="A2" s="2" t="s">
        <v>1264</v>
      </c>
    </row>
    <row r="4" customFormat="false" ht="30" hidden="false" customHeight="true" outlineLevel="0" collapsed="false">
      <c r="A4" s="12" t="s">
        <v>1265</v>
      </c>
      <c r="B4" s="12" t="s">
        <v>1266</v>
      </c>
      <c r="C4" s="12" t="s">
        <v>103</v>
      </c>
    </row>
    <row r="5" customFormat="false" ht="22.35" hidden="false" customHeight="false" outlineLevel="0" collapsed="false">
      <c r="A5" s="33" t="s">
        <v>1267</v>
      </c>
      <c r="B5" s="33" t="s">
        <v>1268</v>
      </c>
      <c r="C5" s="33" t="s">
        <v>1269</v>
      </c>
    </row>
    <row r="6" customFormat="false" ht="15" hidden="false" customHeight="false" outlineLevel="0" collapsed="false">
      <c r="A6" s="36" t="s">
        <v>1270</v>
      </c>
      <c r="B6" s="36" t="s">
        <v>1271</v>
      </c>
      <c r="C6" s="36" t="s">
        <v>1272</v>
      </c>
    </row>
    <row r="7" customFormat="false" ht="15" hidden="false" customHeight="false" outlineLevel="0" collapsed="false">
      <c r="A7" s="33" t="s">
        <v>1273</v>
      </c>
      <c r="B7" s="33" t="s">
        <v>1271</v>
      </c>
      <c r="C7" s="33" t="s">
        <v>1274</v>
      </c>
    </row>
    <row r="8" customFormat="false" ht="15" hidden="false" customHeight="false" outlineLevel="0" collapsed="false">
      <c r="A8" s="36" t="s">
        <v>1275</v>
      </c>
      <c r="B8" s="36" t="s">
        <v>1271</v>
      </c>
      <c r="C8" s="36" t="s">
        <v>1276</v>
      </c>
    </row>
    <row r="9" customFormat="false" ht="15" hidden="false" customHeight="false" outlineLevel="0" collapsed="false">
      <c r="A9" s="33" t="s">
        <v>1277</v>
      </c>
      <c r="B9" s="33" t="s">
        <v>1271</v>
      </c>
      <c r="C9" s="33" t="s">
        <v>1278</v>
      </c>
    </row>
    <row r="10" customFormat="false" ht="15" hidden="false" customHeight="false" outlineLevel="0" collapsed="false">
      <c r="A10" s="36" t="s">
        <v>1279</v>
      </c>
      <c r="B10" s="36" t="s">
        <v>1280</v>
      </c>
      <c r="C10" s="36" t="s">
        <v>1281</v>
      </c>
    </row>
    <row r="11" customFormat="false" ht="15" hidden="false" customHeight="false" outlineLevel="0" collapsed="false">
      <c r="A11" s="33" t="s">
        <v>1282</v>
      </c>
      <c r="B11" s="33" t="s">
        <v>1283</v>
      </c>
      <c r="C11" s="33" t="s">
        <v>1284</v>
      </c>
    </row>
    <row r="12" customFormat="false" ht="15" hidden="false" customHeight="false" outlineLevel="0" collapsed="false">
      <c r="A12" s="36" t="s">
        <v>1285</v>
      </c>
      <c r="B12" s="36" t="s">
        <v>1283</v>
      </c>
      <c r="C12" s="36" t="s">
        <v>1286</v>
      </c>
    </row>
    <row r="13" customFormat="false" ht="15" hidden="false" customHeight="false" outlineLevel="0" collapsed="false">
      <c r="A13" s="33" t="s">
        <v>1287</v>
      </c>
      <c r="B13" s="33" t="s">
        <v>1283</v>
      </c>
      <c r="C13" s="33" t="s">
        <v>1288</v>
      </c>
    </row>
    <row r="14" customFormat="false" ht="15" hidden="false" customHeight="false" outlineLevel="0" collapsed="false">
      <c r="A14" s="36" t="s">
        <v>1289</v>
      </c>
      <c r="B14" s="36" t="s">
        <v>1283</v>
      </c>
      <c r="C14" s="36" t="s">
        <v>1290</v>
      </c>
    </row>
    <row r="15" customFormat="false" ht="15" hidden="false" customHeight="false" outlineLevel="0" collapsed="false">
      <c r="A15" s="33" t="s">
        <v>1291</v>
      </c>
      <c r="B15" s="33" t="s">
        <v>1283</v>
      </c>
      <c r="C15" s="33" t="s">
        <v>1292</v>
      </c>
    </row>
    <row r="16" customFormat="false" ht="15" hidden="false" customHeight="false" outlineLevel="0" collapsed="false">
      <c r="A16" s="36" t="s">
        <v>1293</v>
      </c>
      <c r="B16" s="36" t="s">
        <v>1283</v>
      </c>
      <c r="C16" s="36" t="s">
        <v>1294</v>
      </c>
    </row>
    <row r="17" customFormat="false" ht="15" hidden="false" customHeight="false" outlineLevel="0" collapsed="false">
      <c r="A17" s="33" t="s">
        <v>1295</v>
      </c>
      <c r="B17" s="33" t="s">
        <v>1296</v>
      </c>
      <c r="C17" s="33" t="s">
        <v>1297</v>
      </c>
    </row>
    <row r="18" customFormat="false" ht="15" hidden="false" customHeight="false" outlineLevel="0" collapsed="false">
      <c r="A18" s="36" t="s">
        <v>1298</v>
      </c>
      <c r="B18" s="36" t="s">
        <v>1296</v>
      </c>
      <c r="C18" s="36" t="s">
        <v>1299</v>
      </c>
    </row>
    <row r="19" customFormat="false" ht="15" hidden="false" customHeight="false" outlineLevel="0" collapsed="false">
      <c r="A19" s="33" t="s">
        <v>1300</v>
      </c>
      <c r="B19" s="33" t="s">
        <v>1296</v>
      </c>
      <c r="C19" s="33" t="s">
        <v>1301</v>
      </c>
    </row>
    <row r="20" customFormat="false" ht="15" hidden="false" customHeight="false" outlineLevel="0" collapsed="false">
      <c r="A20" s="36" t="s">
        <v>1302</v>
      </c>
      <c r="B20" s="36" t="s">
        <v>1296</v>
      </c>
      <c r="C20" s="36" t="s">
        <v>1303</v>
      </c>
    </row>
    <row r="21" customFormat="false" ht="15" hidden="false" customHeight="false" outlineLevel="0" collapsed="false">
      <c r="A21" s="33" t="s">
        <v>1304</v>
      </c>
      <c r="B21" s="33" t="s">
        <v>1305</v>
      </c>
      <c r="C21" s="33" t="s">
        <v>1306</v>
      </c>
    </row>
    <row r="22" customFormat="false" ht="15" hidden="false" customHeight="false" outlineLevel="0" collapsed="false">
      <c r="A22" s="36" t="s">
        <v>1307</v>
      </c>
      <c r="B22" s="36" t="s">
        <v>1305</v>
      </c>
      <c r="C22" s="36" t="s">
        <v>1308</v>
      </c>
    </row>
    <row r="23" customFormat="false" ht="22.35" hidden="false" customHeight="false" outlineLevel="0" collapsed="false">
      <c r="A23" s="33" t="s">
        <v>1309</v>
      </c>
      <c r="B23" s="33" t="s">
        <v>1310</v>
      </c>
      <c r="C23" s="33" t="s">
        <v>1311</v>
      </c>
    </row>
    <row r="24" customFormat="false" ht="15" hidden="false" customHeight="false" outlineLevel="0" collapsed="false">
      <c r="A24" s="36" t="s">
        <v>1312</v>
      </c>
      <c r="B24" s="36" t="s">
        <v>547</v>
      </c>
      <c r="C24" s="36" t="s">
        <v>1313</v>
      </c>
    </row>
    <row r="25" customFormat="false" ht="22.35" hidden="false" customHeight="false" outlineLevel="0" collapsed="false">
      <c r="A25" s="33" t="s">
        <v>1314</v>
      </c>
      <c r="B25" s="33" t="s">
        <v>1271</v>
      </c>
      <c r="C25" s="33" t="s">
        <v>1315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2026-10-18T20:01:30Z</dcterms:created>
  <dc:creator>openpyxl</dc:creator>
  <dc:description/>
  <dc:language>en-US</dc:language>
  <cp:lastModifiedBy/>
  <dcterms:modified xsi:type="dcterms:W3CDTF">2026-10-18T20:01:31Z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